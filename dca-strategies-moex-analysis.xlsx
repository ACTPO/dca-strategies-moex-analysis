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rtem\Desktop\dca-strategies-moex-analysis\"/>
    </mc:Choice>
  </mc:AlternateContent>
  <xr:revisionPtr revIDLastSave="0" documentId="13_ncr:1_{326F1ED7-5849-4AF9-9218-C84B500E5119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Настройки" sheetId="9" r:id="rId1"/>
    <sheet name="Сырые данные" sheetId="11" r:id="rId2"/>
    <sheet name="Исходные данные" sheetId="2" r:id="rId3"/>
    <sheet name="Калькулятор стратегий" sheetId="3" r:id="rId4"/>
    <sheet name="Расчёт всех стратегий" sheetId="12" r:id="rId5"/>
    <sheet name="Итоги" sheetId="4" r:id="rId6"/>
    <sheet name="Дашборды" sheetId="5" r:id="rId7"/>
    <sheet name="Калькулятор" sheetId="6" r:id="rId8"/>
    <sheet name="Сводный анализ" sheetId="14" r:id="rId9"/>
    <sheet name="Источники работы" sheetId="10" r:id="rId10"/>
  </sheets>
  <definedNames>
    <definedName name="Срез_Стратегия">#N/A</definedName>
  </definedNames>
  <calcPr calcId="191029"/>
  <pivotCaches>
    <pivotCache cacheId="3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5" l="1"/>
  <c r="M2" i="6"/>
  <c r="O2" i="6" s="1"/>
  <c r="F24" i="2"/>
  <c r="U5" i="5" s="1"/>
  <c r="E4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C26" i="11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E270" i="12"/>
  <c r="D270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E246" i="12"/>
  <c r="D246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E222" i="12"/>
  <c r="D222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E198" i="12"/>
  <c r="D198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E174" i="12"/>
  <c r="D174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E150" i="12"/>
  <c r="D150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E126" i="12"/>
  <c r="D126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E102" i="12"/>
  <c r="D102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E78" i="12"/>
  <c r="D78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54" i="12"/>
  <c r="D54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E30" i="12"/>
  <c r="D30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6" i="12"/>
  <c r="B13" i="6"/>
  <c r="B16" i="6" s="1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70" i="12"/>
  <c r="G270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46" i="12"/>
  <c r="G246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22" i="12"/>
  <c r="G222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198" i="12"/>
  <c r="G198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74" i="12"/>
  <c r="G174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50" i="12"/>
  <c r="G150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26" i="12"/>
  <c r="G126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02" i="12"/>
  <c r="G102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78" i="12"/>
  <c r="G78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54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30" i="12"/>
  <c r="G54" i="12"/>
  <c r="G30" i="12"/>
  <c r="B6" i="12"/>
  <c r="B7" i="12"/>
  <c r="G6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C4" i="3"/>
  <c r="B12" i="6"/>
  <c r="C5" i="3"/>
  <c r="N2" i="6" l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B14" i="6"/>
  <c r="B15" i="6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M18" i="6" l="1"/>
  <c r="M19" i="6" s="1"/>
  <c r="M20" i="6" s="1"/>
  <c r="M21" i="6" s="1"/>
  <c r="M22" i="6" s="1"/>
  <c r="M23" i="6" s="1"/>
  <c r="M24" i="6" s="1"/>
  <c r="M25" i="6" s="1"/>
  <c r="M26" i="6" s="1"/>
  <c r="M27" i="6" s="1"/>
  <c r="N27" i="6" s="1"/>
  <c r="N17" i="6"/>
  <c r="O3" i="6"/>
  <c r="P2" i="6" s="1"/>
  <c r="N3" i="6"/>
  <c r="N4" i="6"/>
  <c r="O4" i="6"/>
  <c r="P4" i="6" s="1"/>
  <c r="G4" i="2"/>
  <c r="I4" i="2" s="1"/>
  <c r="C23" i="2"/>
  <c r="C24" i="2"/>
  <c r="B24" i="2"/>
  <c r="E26" i="11"/>
  <c r="E25" i="11"/>
  <c r="C25" i="11"/>
  <c r="E24" i="11"/>
  <c r="C22" i="2" s="1"/>
  <c r="C24" i="11"/>
  <c r="B22" i="2" s="1"/>
  <c r="E23" i="11"/>
  <c r="C21" i="2" s="1"/>
  <c r="C23" i="11"/>
  <c r="B21" i="2" s="1"/>
  <c r="E22" i="11"/>
  <c r="C20" i="2" s="1"/>
  <c r="C22" i="11"/>
  <c r="B20" i="2" s="1"/>
  <c r="E21" i="11"/>
  <c r="C19" i="2" s="1"/>
  <c r="C21" i="11"/>
  <c r="B19" i="2" s="1"/>
  <c r="E20" i="11"/>
  <c r="C18" i="2" s="1"/>
  <c r="C20" i="11"/>
  <c r="B18" i="2" s="1"/>
  <c r="E19" i="11"/>
  <c r="C17" i="2" s="1"/>
  <c r="C19" i="11"/>
  <c r="B17" i="2" s="1"/>
  <c r="E18" i="11"/>
  <c r="C16" i="2" s="1"/>
  <c r="C18" i="11"/>
  <c r="B16" i="2" s="1"/>
  <c r="E17" i="11"/>
  <c r="C15" i="2" s="1"/>
  <c r="C17" i="11"/>
  <c r="B15" i="2" s="1"/>
  <c r="E16" i="11"/>
  <c r="C14" i="2" s="1"/>
  <c r="C16" i="11"/>
  <c r="B14" i="2" s="1"/>
  <c r="E15" i="11"/>
  <c r="C13" i="2" s="1"/>
  <c r="C15" i="11"/>
  <c r="B13" i="2" s="1"/>
  <c r="E14" i="11"/>
  <c r="C12" i="2" s="1"/>
  <c r="C14" i="11"/>
  <c r="B12" i="2" s="1"/>
  <c r="E13" i="11"/>
  <c r="C11" i="2" s="1"/>
  <c r="C13" i="11"/>
  <c r="B11" i="2" s="1"/>
  <c r="E12" i="11"/>
  <c r="C10" i="2" s="1"/>
  <c r="C12" i="11"/>
  <c r="B10" i="2" s="1"/>
  <c r="E11" i="11"/>
  <c r="C9" i="2" s="1"/>
  <c r="C11" i="11"/>
  <c r="B9" i="2" s="1"/>
  <c r="E10" i="11"/>
  <c r="C8" i="2" s="1"/>
  <c r="C10" i="11"/>
  <c r="B8" i="2" s="1"/>
  <c r="E9" i="11"/>
  <c r="C7" i="2" s="1"/>
  <c r="C9" i="11"/>
  <c r="B7" i="2" s="1"/>
  <c r="E8" i="11"/>
  <c r="C6" i="2" s="1"/>
  <c r="C8" i="11"/>
  <c r="B6" i="2" s="1"/>
  <c r="E7" i="11"/>
  <c r="C5" i="2" s="1"/>
  <c r="C7" i="11"/>
  <c r="B5" i="2" s="1"/>
  <c r="E6" i="11"/>
  <c r="C4" i="2" s="1"/>
  <c r="C6" i="11"/>
  <c r="B4" i="2" s="1"/>
  <c r="B23" i="2"/>
  <c r="G5" i="2" l="1"/>
  <c r="I5" i="2" s="1"/>
  <c r="C222" i="12"/>
  <c r="C54" i="12"/>
  <c r="J54" i="12" s="1"/>
  <c r="C30" i="12"/>
  <c r="C246" i="12"/>
  <c r="J246" i="12" s="1"/>
  <c r="C6" i="12"/>
  <c r="C174" i="12"/>
  <c r="C78" i="12"/>
  <c r="J78" i="12" s="1"/>
  <c r="C198" i="12"/>
  <c r="J198" i="12" s="1"/>
  <c r="C102" i="12"/>
  <c r="J102" i="12" s="1"/>
  <c r="C270" i="12"/>
  <c r="J270" i="12" s="1"/>
  <c r="C150" i="12"/>
  <c r="J150" i="12" s="1"/>
  <c r="J151" i="12" s="1"/>
  <c r="C126" i="12"/>
  <c r="J126" i="12" s="1"/>
  <c r="B4" i="3"/>
  <c r="C199" i="12"/>
  <c r="C223" i="12"/>
  <c r="C127" i="12"/>
  <c r="C151" i="12"/>
  <c r="C55" i="12"/>
  <c r="C175" i="12"/>
  <c r="B5" i="3"/>
  <c r="C31" i="12"/>
  <c r="C79" i="12"/>
  <c r="C247" i="12"/>
  <c r="C103" i="12"/>
  <c r="C7" i="12"/>
  <c r="C271" i="12"/>
  <c r="M28" i="6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3" i="6" s="1"/>
  <c r="P3" i="6"/>
  <c r="N5" i="6"/>
  <c r="O5" i="6"/>
  <c r="P5" i="6" s="1"/>
  <c r="I4" i="3"/>
  <c r="J174" i="12"/>
  <c r="J222" i="12"/>
  <c r="J6" i="12"/>
  <c r="U3" i="12" s="1"/>
  <c r="J30" i="12"/>
  <c r="F116" i="12"/>
  <c r="F92" i="12"/>
  <c r="F284" i="12"/>
  <c r="F188" i="12"/>
  <c r="F260" i="12"/>
  <c r="F164" i="12"/>
  <c r="F236" i="12"/>
  <c r="F68" i="12"/>
  <c r="F20" i="12"/>
  <c r="F140" i="12"/>
  <c r="F44" i="12"/>
  <c r="F212" i="12"/>
  <c r="F74" i="12"/>
  <c r="F170" i="12"/>
  <c r="F26" i="12"/>
  <c r="F290" i="12"/>
  <c r="F266" i="12"/>
  <c r="F194" i="12"/>
  <c r="F146" i="12"/>
  <c r="F242" i="12"/>
  <c r="F122" i="12"/>
  <c r="F50" i="12"/>
  <c r="F218" i="12"/>
  <c r="F98" i="12"/>
  <c r="F175" i="12"/>
  <c r="F79" i="12"/>
  <c r="F151" i="12"/>
  <c r="F247" i="12"/>
  <c r="F223" i="12"/>
  <c r="F31" i="12"/>
  <c r="F103" i="12"/>
  <c r="F127" i="12"/>
  <c r="F7" i="12"/>
  <c r="F55" i="12"/>
  <c r="F271" i="12"/>
  <c r="F199" i="12"/>
  <c r="F115" i="12"/>
  <c r="F283" i="12"/>
  <c r="F187" i="12"/>
  <c r="F91" i="12"/>
  <c r="F19" i="12"/>
  <c r="F67" i="12"/>
  <c r="F259" i="12"/>
  <c r="F163" i="12"/>
  <c r="F235" i="12"/>
  <c r="F139" i="12"/>
  <c r="F211" i="12"/>
  <c r="F43" i="12"/>
  <c r="F62" i="12"/>
  <c r="F230" i="12"/>
  <c r="F14" i="12"/>
  <c r="F278" i="12"/>
  <c r="F206" i="12"/>
  <c r="F110" i="12"/>
  <c r="F134" i="12"/>
  <c r="F182" i="12"/>
  <c r="F86" i="12"/>
  <c r="F158" i="12"/>
  <c r="F254" i="12"/>
  <c r="F38" i="12"/>
  <c r="F225" i="12"/>
  <c r="F57" i="12"/>
  <c r="F153" i="12"/>
  <c r="F249" i="12"/>
  <c r="F33" i="12"/>
  <c r="F177" i="12"/>
  <c r="F129" i="12"/>
  <c r="F273" i="12"/>
  <c r="F201" i="12"/>
  <c r="F105" i="12"/>
  <c r="F9" i="12"/>
  <c r="F81" i="12"/>
  <c r="F285" i="12"/>
  <c r="F165" i="12"/>
  <c r="F189" i="12"/>
  <c r="F237" i="12"/>
  <c r="F261" i="12"/>
  <c r="F93" i="12"/>
  <c r="F117" i="12"/>
  <c r="F213" i="12"/>
  <c r="F141" i="12"/>
  <c r="F21" i="12"/>
  <c r="F69" i="12"/>
  <c r="F90" i="12"/>
  <c r="F114" i="12"/>
  <c r="F162" i="12"/>
  <c r="F234" i="12"/>
  <c r="F258" i="12"/>
  <c r="F210" i="12"/>
  <c r="F186" i="12"/>
  <c r="F66" i="12"/>
  <c r="F282" i="12"/>
  <c r="F138" i="12"/>
  <c r="F18" i="12"/>
  <c r="F142" i="12"/>
  <c r="F22" i="12"/>
  <c r="F286" i="12"/>
  <c r="F46" i="12"/>
  <c r="F238" i="12"/>
  <c r="F214" i="12"/>
  <c r="F118" i="12"/>
  <c r="F190" i="12"/>
  <c r="F70" i="12"/>
  <c r="F94" i="12"/>
  <c r="F166" i="12"/>
  <c r="F262" i="12"/>
  <c r="F209" i="12"/>
  <c r="F281" i="12"/>
  <c r="F185" i="12"/>
  <c r="F65" i="12"/>
  <c r="F113" i="12"/>
  <c r="F257" i="12"/>
  <c r="F137" i="12"/>
  <c r="F161" i="12"/>
  <c r="F89" i="12"/>
  <c r="F233" i="12"/>
  <c r="F17" i="12"/>
  <c r="F224" i="12"/>
  <c r="F32" i="12"/>
  <c r="F128" i="12"/>
  <c r="F8" i="12"/>
  <c r="F272" i="12"/>
  <c r="F200" i="12"/>
  <c r="F56" i="12"/>
  <c r="F104" i="12"/>
  <c r="F176" i="12"/>
  <c r="F80" i="12"/>
  <c r="F248" i="12"/>
  <c r="F152" i="12"/>
  <c r="F183" i="12"/>
  <c r="F39" i="12"/>
  <c r="F63" i="12"/>
  <c r="F87" i="12"/>
  <c r="F159" i="12"/>
  <c r="F255" i="12"/>
  <c r="F231" i="12"/>
  <c r="F279" i="12"/>
  <c r="F207" i="12"/>
  <c r="F111" i="12"/>
  <c r="F135" i="12"/>
  <c r="F15" i="12"/>
  <c r="F133" i="12"/>
  <c r="F13" i="12"/>
  <c r="F229" i="12"/>
  <c r="F277" i="12"/>
  <c r="F205" i="12"/>
  <c r="F61" i="12"/>
  <c r="F85" i="12"/>
  <c r="F109" i="12"/>
  <c r="F157" i="12"/>
  <c r="F253" i="12"/>
  <c r="F181" i="12"/>
  <c r="F25" i="12"/>
  <c r="F169" i="12"/>
  <c r="F241" i="12"/>
  <c r="F217" i="12"/>
  <c r="F145" i="12"/>
  <c r="F73" i="12"/>
  <c r="F193" i="12"/>
  <c r="F289" i="12"/>
  <c r="F121" i="12"/>
  <c r="F265" i="12"/>
  <c r="F97" i="12"/>
  <c r="F130" i="12"/>
  <c r="F10" i="12"/>
  <c r="F34" i="12"/>
  <c r="F274" i="12"/>
  <c r="F202" i="12"/>
  <c r="F106" i="12"/>
  <c r="F58" i="12"/>
  <c r="F178" i="12"/>
  <c r="F82" i="12"/>
  <c r="F154" i="12"/>
  <c r="F250" i="12"/>
  <c r="F226" i="12"/>
  <c r="F112" i="12"/>
  <c r="F16" i="12"/>
  <c r="F64" i="12"/>
  <c r="F136" i="12"/>
  <c r="F232" i="12"/>
  <c r="F160" i="12"/>
  <c r="F256" i="12"/>
  <c r="F280" i="12"/>
  <c r="F184" i="12"/>
  <c r="F208" i="12"/>
  <c r="F88" i="12"/>
  <c r="F83" i="12"/>
  <c r="F275" i="12"/>
  <c r="F203" i="12"/>
  <c r="F107" i="12"/>
  <c r="F179" i="12"/>
  <c r="F11" i="12"/>
  <c r="F155" i="12"/>
  <c r="F251" i="12"/>
  <c r="F227" i="12"/>
  <c r="F131" i="12"/>
  <c r="F35" i="12"/>
  <c r="F59" i="12"/>
  <c r="F47" i="12"/>
  <c r="F239" i="12"/>
  <c r="F23" i="12"/>
  <c r="F215" i="12"/>
  <c r="F287" i="12"/>
  <c r="F119" i="12"/>
  <c r="F71" i="12"/>
  <c r="F191" i="12"/>
  <c r="F95" i="12"/>
  <c r="F263" i="12"/>
  <c r="F167" i="12"/>
  <c r="F143" i="12"/>
  <c r="F102" i="12"/>
  <c r="F78" i="12"/>
  <c r="F174" i="12"/>
  <c r="H174" i="12" s="1"/>
  <c r="I174" i="12" s="1"/>
  <c r="F54" i="12"/>
  <c r="H54" i="12" s="1"/>
  <c r="I54" i="12" s="1"/>
  <c r="F30" i="12"/>
  <c r="F150" i="12"/>
  <c r="F198" i="12"/>
  <c r="H198" i="12" s="1"/>
  <c r="I198" i="12" s="1"/>
  <c r="F246" i="12"/>
  <c r="H246" i="12" s="1"/>
  <c r="I246" i="12" s="1"/>
  <c r="F222" i="12"/>
  <c r="H222" i="12" s="1"/>
  <c r="I222" i="12" s="1"/>
  <c r="F6" i="12"/>
  <c r="F126" i="12"/>
  <c r="F270" i="12"/>
  <c r="F252" i="12"/>
  <c r="F12" i="12"/>
  <c r="F132" i="12"/>
  <c r="F36" i="12"/>
  <c r="F60" i="12"/>
  <c r="F156" i="12"/>
  <c r="F228" i="12"/>
  <c r="F276" i="12"/>
  <c r="F204" i="12"/>
  <c r="F108" i="12"/>
  <c r="F180" i="12"/>
  <c r="F84" i="12"/>
  <c r="F24" i="12"/>
  <c r="F264" i="12"/>
  <c r="F96" i="12"/>
  <c r="F168" i="12"/>
  <c r="F192" i="12"/>
  <c r="F144" i="12"/>
  <c r="F240" i="12"/>
  <c r="F72" i="12"/>
  <c r="F216" i="12"/>
  <c r="F288" i="12"/>
  <c r="F120" i="12"/>
  <c r="E19" i="3"/>
  <c r="F45" i="12"/>
  <c r="E16" i="3"/>
  <c r="F42" i="12"/>
  <c r="E15" i="3"/>
  <c r="F41" i="12"/>
  <c r="E12" i="3"/>
  <c r="E13" i="3"/>
  <c r="E6" i="3"/>
  <c r="E23" i="3"/>
  <c r="F49" i="12"/>
  <c r="E24" i="3"/>
  <c r="E14" i="3"/>
  <c r="F40" i="12"/>
  <c r="G4" i="3"/>
  <c r="H4" i="3" s="1"/>
  <c r="F48" i="12"/>
  <c r="E7" i="3"/>
  <c r="E18" i="3"/>
  <c r="E8" i="3"/>
  <c r="E9" i="3"/>
  <c r="E10" i="3"/>
  <c r="E11" i="3"/>
  <c r="F37" i="12"/>
  <c r="E17" i="3"/>
  <c r="E20" i="3"/>
  <c r="E21" i="3"/>
  <c r="E5" i="3"/>
  <c r="I5" i="3"/>
  <c r="E22" i="3"/>
  <c r="G6" i="2"/>
  <c r="I6" i="2" s="1"/>
  <c r="J223" i="12" l="1"/>
  <c r="J175" i="12"/>
  <c r="J103" i="12"/>
  <c r="J55" i="12"/>
  <c r="J199" i="12"/>
  <c r="J247" i="12"/>
  <c r="C176" i="12"/>
  <c r="J176" i="12" s="1"/>
  <c r="C128" i="12"/>
  <c r="C56" i="12"/>
  <c r="J56" i="12" s="1"/>
  <c r="C200" i="12"/>
  <c r="J200" i="12" s="1"/>
  <c r="C104" i="12"/>
  <c r="J104" i="12" s="1"/>
  <c r="C224" i="12"/>
  <c r="J224" i="12" s="1"/>
  <c r="C152" i="12"/>
  <c r="J152" i="12" s="1"/>
  <c r="C8" i="12"/>
  <c r="C80" i="12"/>
  <c r="C32" i="12"/>
  <c r="B6" i="3"/>
  <c r="C272" i="12"/>
  <c r="C248" i="12"/>
  <c r="J248" i="12" s="1"/>
  <c r="M246" i="12"/>
  <c r="K246" i="12"/>
  <c r="L246" i="12" s="1"/>
  <c r="M222" i="12"/>
  <c r="K222" i="12"/>
  <c r="L222" i="12" s="1"/>
  <c r="K54" i="12"/>
  <c r="L54" i="12" s="1"/>
  <c r="M54" i="12"/>
  <c r="M198" i="12"/>
  <c r="K198" i="12"/>
  <c r="L198" i="12" s="1"/>
  <c r="K174" i="12"/>
  <c r="L174" i="12" s="1"/>
  <c r="M174" i="12"/>
  <c r="J4" i="3"/>
  <c r="K4" i="3" s="1"/>
  <c r="L4" i="3"/>
  <c r="J7" i="12"/>
  <c r="U4" i="12" s="1"/>
  <c r="N6" i="6"/>
  <c r="O6" i="6"/>
  <c r="P6" i="6" s="1"/>
  <c r="F5" i="3"/>
  <c r="G5" i="3" s="1"/>
  <c r="H5" i="3" s="1"/>
  <c r="J79" i="12"/>
  <c r="H78" i="12"/>
  <c r="I78" i="12" s="1"/>
  <c r="H150" i="12"/>
  <c r="I150" i="12" s="1"/>
  <c r="H6" i="12"/>
  <c r="I6" i="12" s="1"/>
  <c r="H102" i="12"/>
  <c r="I102" i="12" s="1"/>
  <c r="J31" i="12"/>
  <c r="J127" i="12"/>
  <c r="H126" i="12"/>
  <c r="I126" i="12" s="1"/>
  <c r="H30" i="12"/>
  <c r="I30" i="12" s="1"/>
  <c r="J271" i="12"/>
  <c r="H270" i="12"/>
  <c r="I270" i="12" s="1"/>
  <c r="G199" i="12"/>
  <c r="H199" i="12" s="1"/>
  <c r="I199" i="12" s="1"/>
  <c r="G223" i="12"/>
  <c r="H223" i="12" s="1"/>
  <c r="I223" i="12" s="1"/>
  <c r="G247" i="12"/>
  <c r="H247" i="12" s="1"/>
  <c r="I247" i="12" s="1"/>
  <c r="G55" i="12"/>
  <c r="H55" i="12" s="1"/>
  <c r="I55" i="12" s="1"/>
  <c r="G175" i="12"/>
  <c r="H175" i="12" s="1"/>
  <c r="I175" i="12" s="1"/>
  <c r="G7" i="2"/>
  <c r="I7" i="2" s="1"/>
  <c r="J128" i="12" l="1"/>
  <c r="J32" i="12"/>
  <c r="J80" i="12"/>
  <c r="C153" i="12"/>
  <c r="C129" i="12"/>
  <c r="J129" i="12" s="1"/>
  <c r="C201" i="12"/>
  <c r="C33" i="12"/>
  <c r="J33" i="12" s="1"/>
  <c r="C81" i="12"/>
  <c r="J81" i="12" s="1"/>
  <c r="C9" i="12"/>
  <c r="J9" i="12" s="1"/>
  <c r="U6" i="12" s="1"/>
  <c r="C57" i="12"/>
  <c r="J57" i="12" s="1"/>
  <c r="C105" i="12"/>
  <c r="J105" i="12" s="1"/>
  <c r="C273" i="12"/>
  <c r="C249" i="12"/>
  <c r="J249" i="12" s="1"/>
  <c r="C225" i="12"/>
  <c r="J225" i="12" s="1"/>
  <c r="B7" i="3"/>
  <c r="C177" i="12"/>
  <c r="J8" i="12"/>
  <c r="U5" i="12" s="1"/>
  <c r="M126" i="12"/>
  <c r="K126" i="12"/>
  <c r="L126" i="12" s="1"/>
  <c r="G151" i="12"/>
  <c r="H151" i="12" s="1"/>
  <c r="I151" i="12" s="1"/>
  <c r="K150" i="12"/>
  <c r="L150" i="12" s="1"/>
  <c r="M150" i="12"/>
  <c r="M55" i="12"/>
  <c r="K55" i="12"/>
  <c r="L55" i="12" s="1"/>
  <c r="M247" i="12"/>
  <c r="K247" i="12"/>
  <c r="L247" i="12" s="1"/>
  <c r="K78" i="12"/>
  <c r="L78" i="12" s="1"/>
  <c r="M78" i="12"/>
  <c r="G176" i="12"/>
  <c r="H176" i="12" s="1"/>
  <c r="I176" i="12" s="1"/>
  <c r="M175" i="12"/>
  <c r="K175" i="12"/>
  <c r="L175" i="12" s="1"/>
  <c r="M223" i="12"/>
  <c r="K223" i="12"/>
  <c r="L223" i="12" s="1"/>
  <c r="M6" i="12"/>
  <c r="K6" i="12"/>
  <c r="L6" i="12" s="1"/>
  <c r="K199" i="12"/>
  <c r="L199" i="12" s="1"/>
  <c r="M199" i="12"/>
  <c r="M270" i="12"/>
  <c r="K270" i="12"/>
  <c r="L270" i="12" s="1"/>
  <c r="M102" i="12"/>
  <c r="K102" i="12"/>
  <c r="L102" i="12" s="1"/>
  <c r="M30" i="12"/>
  <c r="K30" i="12"/>
  <c r="L30" i="12" s="1"/>
  <c r="L5" i="3"/>
  <c r="J5" i="3"/>
  <c r="K5" i="3" s="1"/>
  <c r="O7" i="6"/>
  <c r="P7" i="6" s="1"/>
  <c r="N7" i="6"/>
  <c r="S3" i="12"/>
  <c r="R3" i="12"/>
  <c r="G79" i="12"/>
  <c r="H79" i="12" s="1"/>
  <c r="I79" i="12" s="1"/>
  <c r="T3" i="12"/>
  <c r="G7" i="12"/>
  <c r="H7" i="12" s="1"/>
  <c r="I7" i="12" s="1"/>
  <c r="G103" i="12"/>
  <c r="H103" i="12" s="1"/>
  <c r="I103" i="12" s="1"/>
  <c r="G31" i="12"/>
  <c r="H31" i="12" s="1"/>
  <c r="I31" i="12" s="1"/>
  <c r="G271" i="12"/>
  <c r="H271" i="12" s="1"/>
  <c r="I271" i="12" s="1"/>
  <c r="J272" i="12"/>
  <c r="G127" i="12"/>
  <c r="H127" i="12" s="1"/>
  <c r="I127" i="12" s="1"/>
  <c r="G56" i="12"/>
  <c r="H56" i="12" s="1"/>
  <c r="I56" i="12" s="1"/>
  <c r="G152" i="12"/>
  <c r="H152" i="12" s="1"/>
  <c r="I152" i="12" s="1"/>
  <c r="G248" i="12"/>
  <c r="H248" i="12" s="1"/>
  <c r="I248" i="12" s="1"/>
  <c r="G224" i="12"/>
  <c r="H224" i="12" s="1"/>
  <c r="I224" i="12" s="1"/>
  <c r="G200" i="12"/>
  <c r="H200" i="12" s="1"/>
  <c r="I200" i="12" s="1"/>
  <c r="J201" i="12"/>
  <c r="J177" i="12"/>
  <c r="J153" i="12"/>
  <c r="F6" i="3"/>
  <c r="G6" i="3" s="1"/>
  <c r="H6" i="3" s="1"/>
  <c r="I6" i="3"/>
  <c r="G8" i="2"/>
  <c r="I8" i="2" s="1"/>
  <c r="C130" i="12" l="1"/>
  <c r="C106" i="12"/>
  <c r="C178" i="12"/>
  <c r="C10" i="12"/>
  <c r="B8" i="3"/>
  <c r="C250" i="12"/>
  <c r="C34" i="12"/>
  <c r="C226" i="12"/>
  <c r="C202" i="12"/>
  <c r="J202" i="12" s="1"/>
  <c r="C274" i="12"/>
  <c r="C154" i="12"/>
  <c r="J154" i="12" s="1"/>
  <c r="C58" i="12"/>
  <c r="J58" i="12" s="1"/>
  <c r="C82" i="12"/>
  <c r="M176" i="12"/>
  <c r="K176" i="12"/>
  <c r="L176" i="12" s="1"/>
  <c r="K7" i="12"/>
  <c r="L7" i="12" s="1"/>
  <c r="M7" i="12"/>
  <c r="K103" i="12"/>
  <c r="L103" i="12" s="1"/>
  <c r="M103" i="12"/>
  <c r="M224" i="12"/>
  <c r="K224" i="12"/>
  <c r="L224" i="12" s="1"/>
  <c r="M152" i="12"/>
  <c r="K152" i="12"/>
  <c r="L152" i="12" s="1"/>
  <c r="M56" i="12"/>
  <c r="K56" i="12"/>
  <c r="L56" i="12" s="1"/>
  <c r="K200" i="12"/>
  <c r="L200" i="12" s="1"/>
  <c r="M200" i="12"/>
  <c r="K127" i="12"/>
  <c r="L127" i="12" s="1"/>
  <c r="M127" i="12"/>
  <c r="M151" i="12"/>
  <c r="K151" i="12"/>
  <c r="L151" i="12" s="1"/>
  <c r="M271" i="12"/>
  <c r="K271" i="12"/>
  <c r="L271" i="12" s="1"/>
  <c r="T4" i="12"/>
  <c r="M79" i="12"/>
  <c r="K79" i="12"/>
  <c r="L79" i="12" s="1"/>
  <c r="M248" i="12"/>
  <c r="K248" i="12"/>
  <c r="L248" i="12" s="1"/>
  <c r="K31" i="12"/>
  <c r="L31" i="12" s="1"/>
  <c r="M31" i="12"/>
  <c r="F7" i="3"/>
  <c r="L6" i="3"/>
  <c r="J6" i="3"/>
  <c r="K6" i="3" s="1"/>
  <c r="O8" i="6"/>
  <c r="P8" i="6" s="1"/>
  <c r="N8" i="6"/>
  <c r="G80" i="12"/>
  <c r="H80" i="12" s="1"/>
  <c r="I80" i="12" s="1"/>
  <c r="R4" i="12"/>
  <c r="S4" i="12"/>
  <c r="G104" i="12"/>
  <c r="H104" i="12" s="1"/>
  <c r="I104" i="12" s="1"/>
  <c r="G272" i="12"/>
  <c r="H272" i="12" s="1"/>
  <c r="I272" i="12" s="1"/>
  <c r="G32" i="12"/>
  <c r="H32" i="12" s="1"/>
  <c r="I32" i="12" s="1"/>
  <c r="G8" i="12"/>
  <c r="H8" i="12" s="1"/>
  <c r="I8" i="12" s="1"/>
  <c r="J273" i="12"/>
  <c r="G128" i="12"/>
  <c r="H128" i="12" s="1"/>
  <c r="I128" i="12" s="1"/>
  <c r="J106" i="12"/>
  <c r="J130" i="12"/>
  <c r="J34" i="12"/>
  <c r="J250" i="12"/>
  <c r="J10" i="12"/>
  <c r="U7" i="12" s="1"/>
  <c r="J226" i="12"/>
  <c r="J178" i="12"/>
  <c r="J82" i="12"/>
  <c r="G249" i="12"/>
  <c r="G225" i="12"/>
  <c r="G201" i="12"/>
  <c r="G177" i="12"/>
  <c r="G153" i="12"/>
  <c r="G57" i="12"/>
  <c r="I7" i="3"/>
  <c r="G7" i="3"/>
  <c r="H7" i="3" s="1"/>
  <c r="G9" i="2"/>
  <c r="I9" i="2" s="1"/>
  <c r="J274" i="12" l="1"/>
  <c r="C107" i="12"/>
  <c r="C275" i="12"/>
  <c r="C83" i="12"/>
  <c r="C155" i="12"/>
  <c r="C227" i="12"/>
  <c r="B9" i="3"/>
  <c r="I9" i="3" s="1"/>
  <c r="C11" i="12"/>
  <c r="J11" i="12" s="1"/>
  <c r="U8" i="12" s="1"/>
  <c r="C203" i="12"/>
  <c r="J203" i="12" s="1"/>
  <c r="C179" i="12"/>
  <c r="J179" i="12" s="1"/>
  <c r="C35" i="12"/>
  <c r="J35" i="12" s="1"/>
  <c r="C251" i="12"/>
  <c r="J251" i="12" s="1"/>
  <c r="C131" i="12"/>
  <c r="C59" i="12"/>
  <c r="K104" i="12"/>
  <c r="L104" i="12" s="1"/>
  <c r="M104" i="12"/>
  <c r="T5" i="12"/>
  <c r="M80" i="12"/>
  <c r="K80" i="12"/>
  <c r="L80" i="12" s="1"/>
  <c r="G129" i="12"/>
  <c r="H129" i="12" s="1"/>
  <c r="I129" i="12" s="1"/>
  <c r="K128" i="12"/>
  <c r="L128" i="12" s="1"/>
  <c r="M128" i="12"/>
  <c r="K8" i="12"/>
  <c r="L8" i="12" s="1"/>
  <c r="M8" i="12"/>
  <c r="K32" i="12"/>
  <c r="L32" i="12" s="1"/>
  <c r="M32" i="12"/>
  <c r="G273" i="12"/>
  <c r="M272" i="12"/>
  <c r="K272" i="12"/>
  <c r="L272" i="12" s="1"/>
  <c r="L7" i="3"/>
  <c r="J7" i="3"/>
  <c r="K7" i="3" s="1"/>
  <c r="G81" i="12"/>
  <c r="H81" i="12" s="1"/>
  <c r="I81" i="12" s="1"/>
  <c r="G105" i="12"/>
  <c r="H105" i="12" s="1"/>
  <c r="I105" i="12" s="1"/>
  <c r="O9" i="6"/>
  <c r="P9" i="6" s="1"/>
  <c r="N9" i="6"/>
  <c r="S5" i="12"/>
  <c r="G9" i="12"/>
  <c r="H9" i="12" s="1"/>
  <c r="I9" i="12" s="1"/>
  <c r="R5" i="12"/>
  <c r="G33" i="12"/>
  <c r="H33" i="12" s="1"/>
  <c r="I33" i="12" s="1"/>
  <c r="J107" i="12"/>
  <c r="J59" i="12"/>
  <c r="J155" i="12"/>
  <c r="J227" i="12"/>
  <c r="J83" i="12"/>
  <c r="J275" i="12"/>
  <c r="J131" i="12"/>
  <c r="H273" i="12"/>
  <c r="I273" i="12" s="1"/>
  <c r="H249" i="12"/>
  <c r="I249" i="12" s="1"/>
  <c r="H225" i="12"/>
  <c r="I225" i="12" s="1"/>
  <c r="H201" i="12"/>
  <c r="I201" i="12" s="1"/>
  <c r="H177" i="12"/>
  <c r="I177" i="12" s="1"/>
  <c r="H153" i="12"/>
  <c r="I153" i="12" s="1"/>
  <c r="H57" i="12"/>
  <c r="I57" i="12" s="1"/>
  <c r="F8" i="3"/>
  <c r="G8" i="3" s="1"/>
  <c r="H8" i="3" s="1"/>
  <c r="I8" i="3"/>
  <c r="G10" i="2"/>
  <c r="I10" i="2" s="1"/>
  <c r="C84" i="12" l="1"/>
  <c r="C12" i="12"/>
  <c r="C132" i="12"/>
  <c r="J132" i="12" s="1"/>
  <c r="C60" i="12"/>
  <c r="C276" i="12"/>
  <c r="J276" i="12" s="1"/>
  <c r="B10" i="3"/>
  <c r="C36" i="12"/>
  <c r="J36" i="12" s="1"/>
  <c r="C204" i="12"/>
  <c r="J204" i="12" s="1"/>
  <c r="C180" i="12"/>
  <c r="J180" i="12" s="1"/>
  <c r="C156" i="12"/>
  <c r="J156" i="12" s="1"/>
  <c r="C228" i="12"/>
  <c r="J228" i="12" s="1"/>
  <c r="C108" i="12"/>
  <c r="J108" i="12" s="1"/>
  <c r="C252" i="12"/>
  <c r="T6" i="12"/>
  <c r="M81" i="12"/>
  <c r="K81" i="12"/>
  <c r="L81" i="12" s="1"/>
  <c r="M177" i="12"/>
  <c r="K177" i="12"/>
  <c r="L177" i="12" s="1"/>
  <c r="R6" i="12"/>
  <c r="K9" i="12"/>
  <c r="L9" i="12" s="1"/>
  <c r="M9" i="12"/>
  <c r="M225" i="12"/>
  <c r="K225" i="12"/>
  <c r="L225" i="12" s="1"/>
  <c r="K105" i="12"/>
  <c r="L105" i="12" s="1"/>
  <c r="M105" i="12"/>
  <c r="M57" i="12"/>
  <c r="K57" i="12"/>
  <c r="L57" i="12" s="1"/>
  <c r="K129" i="12"/>
  <c r="L129" i="12" s="1"/>
  <c r="M129" i="12"/>
  <c r="M153" i="12"/>
  <c r="K153" i="12"/>
  <c r="L153" i="12" s="1"/>
  <c r="K201" i="12"/>
  <c r="L201" i="12" s="1"/>
  <c r="M201" i="12"/>
  <c r="M249" i="12"/>
  <c r="K249" i="12"/>
  <c r="L249" i="12" s="1"/>
  <c r="M273" i="12"/>
  <c r="K273" i="12"/>
  <c r="L273" i="12" s="1"/>
  <c r="S6" i="12"/>
  <c r="K33" i="12"/>
  <c r="L33" i="12" s="1"/>
  <c r="M33" i="12"/>
  <c r="L8" i="3"/>
  <c r="J8" i="3"/>
  <c r="K8" i="3" s="1"/>
  <c r="G10" i="12"/>
  <c r="H10" i="12" s="1"/>
  <c r="I10" i="12" s="1"/>
  <c r="G11" i="12" s="1"/>
  <c r="N10" i="6"/>
  <c r="O10" i="6"/>
  <c r="P10" i="6" s="1"/>
  <c r="J60" i="12"/>
  <c r="J252" i="12"/>
  <c r="J84" i="12"/>
  <c r="J12" i="12"/>
  <c r="U9" i="12" s="1"/>
  <c r="G274" i="12"/>
  <c r="G250" i="12"/>
  <c r="G226" i="12"/>
  <c r="G202" i="12"/>
  <c r="G178" i="12"/>
  <c r="G154" i="12"/>
  <c r="G130" i="12"/>
  <c r="G106" i="12"/>
  <c r="G82" i="12"/>
  <c r="G58" i="12"/>
  <c r="G34" i="12"/>
  <c r="F9" i="3"/>
  <c r="G9" i="3" s="1"/>
  <c r="H9" i="3" s="1"/>
  <c r="G11" i="2"/>
  <c r="I11" i="2" s="1"/>
  <c r="I10" i="3"/>
  <c r="C61" i="12" l="1"/>
  <c r="C109" i="12"/>
  <c r="J109" i="12" s="1"/>
  <c r="C253" i="12"/>
  <c r="B11" i="3"/>
  <c r="I11" i="3" s="1"/>
  <c r="C37" i="12"/>
  <c r="J37" i="12" s="1"/>
  <c r="C181" i="12"/>
  <c r="J181" i="12" s="1"/>
  <c r="C157" i="12"/>
  <c r="C133" i="12"/>
  <c r="J133" i="12" s="1"/>
  <c r="C277" i="12"/>
  <c r="J277" i="12" s="1"/>
  <c r="C205" i="12"/>
  <c r="J205" i="12" s="1"/>
  <c r="C13" i="12"/>
  <c r="J13" i="12" s="1"/>
  <c r="U10" i="12" s="1"/>
  <c r="C85" i="12"/>
  <c r="J85" i="12" s="1"/>
  <c r="C229" i="12"/>
  <c r="R7" i="12"/>
  <c r="M10" i="12"/>
  <c r="K10" i="12"/>
  <c r="L10" i="12" s="1"/>
  <c r="L9" i="3"/>
  <c r="J9" i="3"/>
  <c r="K9" i="3" s="1"/>
  <c r="N11" i="6"/>
  <c r="O11" i="6"/>
  <c r="P11" i="6" s="1"/>
  <c r="J61" i="12"/>
  <c r="J253" i="12"/>
  <c r="J229" i="12"/>
  <c r="J157" i="12"/>
  <c r="H274" i="12"/>
  <c r="I274" i="12" s="1"/>
  <c r="H250" i="12"/>
  <c r="I250" i="12" s="1"/>
  <c r="H226" i="12"/>
  <c r="I226" i="12" s="1"/>
  <c r="H202" i="12"/>
  <c r="I202" i="12" s="1"/>
  <c r="H178" i="12"/>
  <c r="I178" i="12" s="1"/>
  <c r="H154" i="12"/>
  <c r="I154" i="12" s="1"/>
  <c r="H130" i="12"/>
  <c r="I130" i="12" s="1"/>
  <c r="H106" i="12"/>
  <c r="I106" i="12" s="1"/>
  <c r="H82" i="12"/>
  <c r="I82" i="12" s="1"/>
  <c r="H58" i="12"/>
  <c r="I58" i="12" s="1"/>
  <c r="H34" i="12"/>
  <c r="I34" i="12" s="1"/>
  <c r="H11" i="12"/>
  <c r="I11" i="12" s="1"/>
  <c r="F10" i="3"/>
  <c r="G12" i="2"/>
  <c r="I12" i="2" s="1"/>
  <c r="C110" i="12" l="1"/>
  <c r="C38" i="12"/>
  <c r="C230" i="12"/>
  <c r="C158" i="12"/>
  <c r="J158" i="12" s="1"/>
  <c r="B12" i="3"/>
  <c r="I12" i="3" s="1"/>
  <c r="C134" i="12"/>
  <c r="C86" i="12"/>
  <c r="J86" i="12" s="1"/>
  <c r="C278" i="12"/>
  <c r="J278" i="12" s="1"/>
  <c r="C182" i="12"/>
  <c r="J182" i="12" s="1"/>
  <c r="C14" i="12"/>
  <c r="J14" i="12" s="1"/>
  <c r="U11" i="12" s="1"/>
  <c r="C62" i="12"/>
  <c r="J62" i="12" s="1"/>
  <c r="C206" i="12"/>
  <c r="J206" i="12" s="1"/>
  <c r="C254" i="12"/>
  <c r="M202" i="12"/>
  <c r="K202" i="12"/>
  <c r="L202" i="12" s="1"/>
  <c r="M226" i="12"/>
  <c r="K226" i="12"/>
  <c r="L226" i="12" s="1"/>
  <c r="M274" i="12"/>
  <c r="K274" i="12"/>
  <c r="L274" i="12" s="1"/>
  <c r="M178" i="12"/>
  <c r="K178" i="12"/>
  <c r="L178" i="12" s="1"/>
  <c r="S7" i="12"/>
  <c r="K34" i="12"/>
  <c r="L34" i="12" s="1"/>
  <c r="M34" i="12"/>
  <c r="K58" i="12"/>
  <c r="L58" i="12" s="1"/>
  <c r="M58" i="12"/>
  <c r="T7" i="12"/>
  <c r="M82" i="12"/>
  <c r="K82" i="12"/>
  <c r="L82" i="12" s="1"/>
  <c r="M106" i="12"/>
  <c r="K106" i="12"/>
  <c r="L106" i="12" s="1"/>
  <c r="M250" i="12"/>
  <c r="K250" i="12"/>
  <c r="L250" i="12" s="1"/>
  <c r="R8" i="12"/>
  <c r="M11" i="12"/>
  <c r="K11" i="12"/>
  <c r="L11" i="12" s="1"/>
  <c r="K130" i="12"/>
  <c r="L130" i="12" s="1"/>
  <c r="M130" i="12"/>
  <c r="K154" i="12"/>
  <c r="L154" i="12" s="1"/>
  <c r="M154" i="12"/>
  <c r="N12" i="6"/>
  <c r="O12" i="6"/>
  <c r="P12" i="6" s="1"/>
  <c r="J230" i="12"/>
  <c r="J254" i="12"/>
  <c r="J110" i="12"/>
  <c r="J134" i="12"/>
  <c r="J38" i="12"/>
  <c r="G275" i="12"/>
  <c r="G251" i="12"/>
  <c r="G227" i="12"/>
  <c r="G203" i="12"/>
  <c r="G179" i="12"/>
  <c r="G155" i="12"/>
  <c r="G131" i="12"/>
  <c r="G107" i="12"/>
  <c r="G83" i="12"/>
  <c r="G59" i="12"/>
  <c r="G35" i="12"/>
  <c r="G12" i="12"/>
  <c r="G10" i="3"/>
  <c r="H10" i="3" s="1"/>
  <c r="G13" i="2"/>
  <c r="I13" i="2" s="1"/>
  <c r="C87" i="12" l="1"/>
  <c r="B13" i="3"/>
  <c r="C279" i="12"/>
  <c r="C135" i="12"/>
  <c r="C15" i="12"/>
  <c r="J15" i="12" s="1"/>
  <c r="U12" i="12" s="1"/>
  <c r="C111" i="12"/>
  <c r="J111" i="12" s="1"/>
  <c r="C39" i="12"/>
  <c r="J39" i="12" s="1"/>
  <c r="C63" i="12"/>
  <c r="J63" i="12" s="1"/>
  <c r="C255" i="12"/>
  <c r="J255" i="12" s="1"/>
  <c r="C159" i="12"/>
  <c r="J159" i="12" s="1"/>
  <c r="C231" i="12"/>
  <c r="J231" i="12" s="1"/>
  <c r="C207" i="12"/>
  <c r="J207" i="12" s="1"/>
  <c r="C183" i="12"/>
  <c r="L10" i="3"/>
  <c r="J10" i="3"/>
  <c r="K10" i="3" s="1"/>
  <c r="N13" i="6"/>
  <c r="O13" i="6"/>
  <c r="P13" i="6" s="1"/>
  <c r="J183" i="12"/>
  <c r="J135" i="12"/>
  <c r="J279" i="12"/>
  <c r="J87" i="12"/>
  <c r="H275" i="12"/>
  <c r="I275" i="12" s="1"/>
  <c r="H251" i="12"/>
  <c r="I251" i="12" s="1"/>
  <c r="H227" i="12"/>
  <c r="I227" i="12" s="1"/>
  <c r="H203" i="12"/>
  <c r="I203" i="12" s="1"/>
  <c r="H179" i="12"/>
  <c r="I179" i="12" s="1"/>
  <c r="H155" i="12"/>
  <c r="I155" i="12" s="1"/>
  <c r="H131" i="12"/>
  <c r="I131" i="12" s="1"/>
  <c r="H107" i="12"/>
  <c r="I107" i="12" s="1"/>
  <c r="H83" i="12"/>
  <c r="I83" i="12" s="1"/>
  <c r="H59" i="12"/>
  <c r="I59" i="12" s="1"/>
  <c r="H35" i="12"/>
  <c r="I35" i="12" s="1"/>
  <c r="H12" i="12"/>
  <c r="I12" i="12" s="1"/>
  <c r="F11" i="3"/>
  <c r="G14" i="2"/>
  <c r="I14" i="2" s="1"/>
  <c r="I13" i="3"/>
  <c r="C280" i="12" l="1"/>
  <c r="C40" i="12"/>
  <c r="C112" i="12"/>
  <c r="C208" i="12"/>
  <c r="C88" i="12"/>
  <c r="C16" i="12"/>
  <c r="J16" i="12" s="1"/>
  <c r="U13" i="12" s="1"/>
  <c r="C232" i="12"/>
  <c r="C136" i="12"/>
  <c r="J136" i="12" s="1"/>
  <c r="C64" i="12"/>
  <c r="J64" i="12" s="1"/>
  <c r="C256" i="12"/>
  <c r="J256" i="12" s="1"/>
  <c r="C160" i="12"/>
  <c r="J160" i="12" s="1"/>
  <c r="C184" i="12"/>
  <c r="J184" i="12" s="1"/>
  <c r="B14" i="3"/>
  <c r="M107" i="12"/>
  <c r="K107" i="12"/>
  <c r="L107" i="12" s="1"/>
  <c r="M203" i="12"/>
  <c r="K203" i="12"/>
  <c r="L203" i="12" s="1"/>
  <c r="K155" i="12"/>
  <c r="L155" i="12" s="1"/>
  <c r="M155" i="12"/>
  <c r="K131" i="12"/>
  <c r="L131" i="12" s="1"/>
  <c r="M131" i="12"/>
  <c r="M251" i="12"/>
  <c r="K251" i="12"/>
  <c r="L251" i="12" s="1"/>
  <c r="R9" i="12"/>
  <c r="M12" i="12"/>
  <c r="K12" i="12"/>
  <c r="L12" i="12" s="1"/>
  <c r="M179" i="12"/>
  <c r="K179" i="12"/>
  <c r="L179" i="12" s="1"/>
  <c r="M227" i="12"/>
  <c r="K227" i="12"/>
  <c r="L227" i="12" s="1"/>
  <c r="M275" i="12"/>
  <c r="K275" i="12"/>
  <c r="L275" i="12" s="1"/>
  <c r="S8" i="12"/>
  <c r="K35" i="12"/>
  <c r="L35" i="12" s="1"/>
  <c r="M35" i="12"/>
  <c r="K59" i="12"/>
  <c r="L59" i="12" s="1"/>
  <c r="M59" i="12"/>
  <c r="T8" i="12"/>
  <c r="M83" i="12"/>
  <c r="K83" i="12"/>
  <c r="L83" i="12" s="1"/>
  <c r="N14" i="6"/>
  <c r="O14" i="6"/>
  <c r="P14" i="6" s="1"/>
  <c r="J112" i="12"/>
  <c r="J208" i="12"/>
  <c r="J232" i="12"/>
  <c r="J40" i="12"/>
  <c r="J280" i="12"/>
  <c r="J88" i="12"/>
  <c r="G276" i="12"/>
  <c r="G252" i="12"/>
  <c r="G228" i="12"/>
  <c r="G204" i="12"/>
  <c r="G180" i="12"/>
  <c r="G156" i="12"/>
  <c r="G132" i="12"/>
  <c r="G108" i="12"/>
  <c r="G84" i="12"/>
  <c r="G60" i="12"/>
  <c r="G36" i="12"/>
  <c r="G13" i="12"/>
  <c r="G11" i="3"/>
  <c r="H11" i="3" s="1"/>
  <c r="G15" i="2"/>
  <c r="I15" i="2" s="1"/>
  <c r="I14" i="3"/>
  <c r="B15" i="3" l="1"/>
  <c r="C17" i="12"/>
  <c r="C89" i="12"/>
  <c r="C65" i="12"/>
  <c r="J65" i="12" s="1"/>
  <c r="C137" i="12"/>
  <c r="J137" i="12" s="1"/>
  <c r="C185" i="12"/>
  <c r="J185" i="12" s="1"/>
  <c r="C113" i="12"/>
  <c r="J113" i="12" s="1"/>
  <c r="C233" i="12"/>
  <c r="J233" i="12" s="1"/>
  <c r="C257" i="12"/>
  <c r="J257" i="12" s="1"/>
  <c r="C161" i="12"/>
  <c r="J161" i="12" s="1"/>
  <c r="C41" i="12"/>
  <c r="J41" i="12" s="1"/>
  <c r="C281" i="12"/>
  <c r="J281" i="12" s="1"/>
  <c r="C209" i="12"/>
  <c r="L11" i="3"/>
  <c r="J11" i="3"/>
  <c r="K11" i="3" s="1"/>
  <c r="N15" i="6"/>
  <c r="O15" i="6"/>
  <c r="P15" i="6" s="1"/>
  <c r="J89" i="12"/>
  <c r="J17" i="12"/>
  <c r="U14" i="12" s="1"/>
  <c r="J209" i="12"/>
  <c r="H276" i="12"/>
  <c r="I276" i="12" s="1"/>
  <c r="H252" i="12"/>
  <c r="I252" i="12" s="1"/>
  <c r="H228" i="12"/>
  <c r="I228" i="12" s="1"/>
  <c r="H204" i="12"/>
  <c r="I204" i="12" s="1"/>
  <c r="H180" i="12"/>
  <c r="I180" i="12" s="1"/>
  <c r="H156" i="12"/>
  <c r="I156" i="12" s="1"/>
  <c r="H132" i="12"/>
  <c r="I132" i="12" s="1"/>
  <c r="H108" i="12"/>
  <c r="I108" i="12" s="1"/>
  <c r="H84" i="12"/>
  <c r="I84" i="12" s="1"/>
  <c r="H60" i="12"/>
  <c r="I60" i="12" s="1"/>
  <c r="H36" i="12"/>
  <c r="I36" i="12" s="1"/>
  <c r="H13" i="12"/>
  <c r="I13" i="12" s="1"/>
  <c r="F12" i="3"/>
  <c r="G16" i="2"/>
  <c r="I16" i="2" s="1"/>
  <c r="I15" i="3"/>
  <c r="C282" i="12" l="1"/>
  <c r="C258" i="12"/>
  <c r="C42" i="12"/>
  <c r="C114" i="12"/>
  <c r="C138" i="12"/>
  <c r="J138" i="12" s="1"/>
  <c r="C18" i="12"/>
  <c r="J18" i="12" s="1"/>
  <c r="U15" i="12" s="1"/>
  <c r="C66" i="12"/>
  <c r="J66" i="12" s="1"/>
  <c r="C234" i="12"/>
  <c r="J234" i="12" s="1"/>
  <c r="C90" i="12"/>
  <c r="J90" i="12" s="1"/>
  <c r="C162" i="12"/>
  <c r="J162" i="12" s="1"/>
  <c r="B16" i="3"/>
  <c r="I16" i="3" s="1"/>
  <c r="C210" i="12"/>
  <c r="J210" i="12" s="1"/>
  <c r="C186" i="12"/>
  <c r="M108" i="12"/>
  <c r="K108" i="12"/>
  <c r="L108" i="12" s="1"/>
  <c r="K132" i="12"/>
  <c r="L132" i="12" s="1"/>
  <c r="M132" i="12"/>
  <c r="M252" i="12"/>
  <c r="K252" i="12"/>
  <c r="L252" i="12" s="1"/>
  <c r="M276" i="12"/>
  <c r="K276" i="12"/>
  <c r="L276" i="12" s="1"/>
  <c r="K156" i="12"/>
  <c r="L156" i="12" s="1"/>
  <c r="M156" i="12"/>
  <c r="M204" i="12"/>
  <c r="K204" i="12"/>
  <c r="L204" i="12" s="1"/>
  <c r="M228" i="12"/>
  <c r="K228" i="12"/>
  <c r="L228" i="12" s="1"/>
  <c r="M180" i="12"/>
  <c r="K180" i="12"/>
  <c r="L180" i="12" s="1"/>
  <c r="R10" i="12"/>
  <c r="M13" i="12"/>
  <c r="K13" i="12"/>
  <c r="L13" i="12" s="1"/>
  <c r="S9" i="12"/>
  <c r="K36" i="12"/>
  <c r="L36" i="12" s="1"/>
  <c r="M36" i="12"/>
  <c r="K60" i="12"/>
  <c r="L60" i="12" s="1"/>
  <c r="M60" i="12"/>
  <c r="T9" i="12"/>
  <c r="M84" i="12"/>
  <c r="K84" i="12"/>
  <c r="L84" i="12" s="1"/>
  <c r="N16" i="6"/>
  <c r="O16" i="6"/>
  <c r="P16" i="6" s="1"/>
  <c r="J282" i="12"/>
  <c r="J186" i="12"/>
  <c r="J42" i="12"/>
  <c r="J258" i="12"/>
  <c r="J114" i="12"/>
  <c r="G277" i="12"/>
  <c r="G253" i="12"/>
  <c r="G229" i="12"/>
  <c r="G205" i="12"/>
  <c r="G181" i="12"/>
  <c r="G157" i="12"/>
  <c r="G133" i="12"/>
  <c r="G109" i="12"/>
  <c r="G85" i="12"/>
  <c r="G61" i="12"/>
  <c r="G37" i="12"/>
  <c r="G14" i="12"/>
  <c r="G12" i="3"/>
  <c r="H12" i="3" s="1"/>
  <c r="G17" i="2"/>
  <c r="I17" i="2" s="1"/>
  <c r="C283" i="12" l="1"/>
  <c r="C67" i="12"/>
  <c r="C163" i="12"/>
  <c r="C91" i="12"/>
  <c r="J91" i="12" s="1"/>
  <c r="C211" i="12"/>
  <c r="J211" i="12" s="1"/>
  <c r="C19" i="12"/>
  <c r="J19" i="12" s="1"/>
  <c r="U16" i="12" s="1"/>
  <c r="C43" i="12"/>
  <c r="J43" i="12" s="1"/>
  <c r="C259" i="12"/>
  <c r="J259" i="12" s="1"/>
  <c r="C187" i="12"/>
  <c r="J187" i="12" s="1"/>
  <c r="C115" i="12"/>
  <c r="J115" i="12" s="1"/>
  <c r="B17" i="3"/>
  <c r="I17" i="3" s="1"/>
  <c r="C139" i="12"/>
  <c r="J139" i="12" s="1"/>
  <c r="C235" i="12"/>
  <c r="J12" i="3"/>
  <c r="K12" i="3" s="1"/>
  <c r="L12" i="3"/>
  <c r="O17" i="6"/>
  <c r="P17" i="6" s="1"/>
  <c r="J163" i="12"/>
  <c r="J283" i="12"/>
  <c r="J235" i="12"/>
  <c r="J67" i="12"/>
  <c r="H277" i="12"/>
  <c r="I277" i="12" s="1"/>
  <c r="H253" i="12"/>
  <c r="I253" i="12" s="1"/>
  <c r="H229" i="12"/>
  <c r="I229" i="12" s="1"/>
  <c r="H205" i="12"/>
  <c r="I205" i="12" s="1"/>
  <c r="H181" i="12"/>
  <c r="I181" i="12" s="1"/>
  <c r="H157" i="12"/>
  <c r="I157" i="12" s="1"/>
  <c r="H133" i="12"/>
  <c r="I133" i="12" s="1"/>
  <c r="H109" i="12"/>
  <c r="I109" i="12" s="1"/>
  <c r="H85" i="12"/>
  <c r="I85" i="12" s="1"/>
  <c r="H61" i="12"/>
  <c r="I61" i="12" s="1"/>
  <c r="H37" i="12"/>
  <c r="I37" i="12" s="1"/>
  <c r="H14" i="12"/>
  <c r="I14" i="12" s="1"/>
  <c r="F13" i="3"/>
  <c r="G18" i="2"/>
  <c r="I18" i="2" s="1"/>
  <c r="C284" i="12" l="1"/>
  <c r="C68" i="12"/>
  <c r="C44" i="12"/>
  <c r="C116" i="12"/>
  <c r="C164" i="12"/>
  <c r="C92" i="12"/>
  <c r="C140" i="12"/>
  <c r="J140" i="12" s="1"/>
  <c r="C212" i="12"/>
  <c r="J212" i="12" s="1"/>
  <c r="B18" i="3"/>
  <c r="I18" i="3" s="1"/>
  <c r="C260" i="12"/>
  <c r="J260" i="12" s="1"/>
  <c r="C188" i="12"/>
  <c r="J188" i="12" s="1"/>
  <c r="C236" i="12"/>
  <c r="J236" i="12" s="1"/>
  <c r="C20" i="12"/>
  <c r="M133" i="12"/>
  <c r="K133" i="12"/>
  <c r="L133" i="12" s="1"/>
  <c r="K181" i="12"/>
  <c r="L181" i="12" s="1"/>
  <c r="M181" i="12"/>
  <c r="K157" i="12"/>
  <c r="L157" i="12" s="1"/>
  <c r="M157" i="12"/>
  <c r="M229" i="12"/>
  <c r="K229" i="12"/>
  <c r="L229" i="12" s="1"/>
  <c r="M277" i="12"/>
  <c r="K277" i="12"/>
  <c r="L277" i="12" s="1"/>
  <c r="M109" i="12"/>
  <c r="K109" i="12"/>
  <c r="L109" i="12" s="1"/>
  <c r="M253" i="12"/>
  <c r="K253" i="12"/>
  <c r="L253" i="12" s="1"/>
  <c r="S10" i="12"/>
  <c r="M37" i="12"/>
  <c r="K37" i="12"/>
  <c r="L37" i="12" s="1"/>
  <c r="K61" i="12"/>
  <c r="L61" i="12" s="1"/>
  <c r="M61" i="12"/>
  <c r="M205" i="12"/>
  <c r="K205" i="12"/>
  <c r="L205" i="12" s="1"/>
  <c r="R11" i="12"/>
  <c r="M14" i="12"/>
  <c r="K14" i="12"/>
  <c r="L14" i="12" s="1"/>
  <c r="T10" i="12"/>
  <c r="K85" i="12"/>
  <c r="L85" i="12" s="1"/>
  <c r="M85" i="12"/>
  <c r="N18" i="6"/>
  <c r="O18" i="6"/>
  <c r="P18" i="6" s="1"/>
  <c r="J44" i="12"/>
  <c r="J164" i="12"/>
  <c r="J92" i="12"/>
  <c r="J20" i="12"/>
  <c r="U17" i="12" s="1"/>
  <c r="J284" i="12"/>
  <c r="J116" i="12"/>
  <c r="J68" i="12"/>
  <c r="G278" i="12"/>
  <c r="G254" i="12"/>
  <c r="G230" i="12"/>
  <c r="G206" i="12"/>
  <c r="G182" i="12"/>
  <c r="G158" i="12"/>
  <c r="G134" i="12"/>
  <c r="G110" i="12"/>
  <c r="G86" i="12"/>
  <c r="G62" i="12"/>
  <c r="G38" i="12"/>
  <c r="G15" i="12"/>
  <c r="G13" i="3"/>
  <c r="H13" i="3" s="1"/>
  <c r="G19" i="2"/>
  <c r="I19" i="2" s="1"/>
  <c r="C261" i="12" l="1"/>
  <c r="B19" i="3"/>
  <c r="C21" i="12"/>
  <c r="C285" i="12"/>
  <c r="J285" i="12" s="1"/>
  <c r="C117" i="12"/>
  <c r="C237" i="12"/>
  <c r="J237" i="12" s="1"/>
  <c r="C69" i="12"/>
  <c r="J69" i="12" s="1"/>
  <c r="C213" i="12"/>
  <c r="J213" i="12" s="1"/>
  <c r="C45" i="12"/>
  <c r="J45" i="12" s="1"/>
  <c r="C141" i="12"/>
  <c r="J141" i="12" s="1"/>
  <c r="C93" i="12"/>
  <c r="J93" i="12" s="1"/>
  <c r="C189" i="12"/>
  <c r="J189" i="12" s="1"/>
  <c r="C165" i="12"/>
  <c r="J165" i="12" s="1"/>
  <c r="J13" i="3"/>
  <c r="K13" i="3" s="1"/>
  <c r="L13" i="3"/>
  <c r="O19" i="6"/>
  <c r="P19" i="6" s="1"/>
  <c r="N19" i="6"/>
  <c r="J261" i="12"/>
  <c r="J117" i="12"/>
  <c r="J21" i="12"/>
  <c r="U18" i="12" s="1"/>
  <c r="H278" i="12"/>
  <c r="I278" i="12" s="1"/>
  <c r="H254" i="12"/>
  <c r="I254" i="12" s="1"/>
  <c r="H230" i="12"/>
  <c r="I230" i="12" s="1"/>
  <c r="H206" i="12"/>
  <c r="I206" i="12" s="1"/>
  <c r="H182" i="12"/>
  <c r="I182" i="12" s="1"/>
  <c r="H158" i="12"/>
  <c r="I158" i="12" s="1"/>
  <c r="H134" i="12"/>
  <c r="I134" i="12" s="1"/>
  <c r="H110" i="12"/>
  <c r="I110" i="12" s="1"/>
  <c r="H86" i="12"/>
  <c r="I86" i="12" s="1"/>
  <c r="H62" i="12"/>
  <c r="I62" i="12" s="1"/>
  <c r="H38" i="12"/>
  <c r="I38" i="12" s="1"/>
  <c r="H15" i="12"/>
  <c r="I15" i="12" s="1"/>
  <c r="F14" i="3"/>
  <c r="G14" i="3" s="1"/>
  <c r="H14" i="3" s="1"/>
  <c r="G20" i="2"/>
  <c r="I20" i="2" s="1"/>
  <c r="I19" i="3"/>
  <c r="C262" i="12" l="1"/>
  <c r="C142" i="12"/>
  <c r="J142" i="12" s="1"/>
  <c r="C70" i="12"/>
  <c r="C190" i="12"/>
  <c r="J190" i="12" s="1"/>
  <c r="C22" i="12"/>
  <c r="J22" i="12" s="1"/>
  <c r="U19" i="12" s="1"/>
  <c r="C238" i="12"/>
  <c r="J238" i="12" s="1"/>
  <c r="C166" i="12"/>
  <c r="C286" i="12"/>
  <c r="J286" i="12" s="1"/>
  <c r="C118" i="12"/>
  <c r="J118" i="12" s="1"/>
  <c r="C214" i="12"/>
  <c r="J214" i="12" s="1"/>
  <c r="B20" i="3"/>
  <c r="I20" i="3" s="1"/>
  <c r="C46" i="12"/>
  <c r="J46" i="12" s="1"/>
  <c r="C94" i="12"/>
  <c r="M110" i="12"/>
  <c r="K110" i="12"/>
  <c r="L110" i="12" s="1"/>
  <c r="K158" i="12"/>
  <c r="L158" i="12" s="1"/>
  <c r="M158" i="12"/>
  <c r="M278" i="12"/>
  <c r="K278" i="12"/>
  <c r="L278" i="12" s="1"/>
  <c r="M134" i="12"/>
  <c r="K134" i="12"/>
  <c r="L134" i="12" s="1"/>
  <c r="M230" i="12"/>
  <c r="K230" i="12"/>
  <c r="L230" i="12" s="1"/>
  <c r="M254" i="12"/>
  <c r="K254" i="12"/>
  <c r="L254" i="12" s="1"/>
  <c r="S11" i="12"/>
  <c r="M38" i="12"/>
  <c r="K38" i="12"/>
  <c r="L38" i="12" s="1"/>
  <c r="K182" i="12"/>
  <c r="L182" i="12" s="1"/>
  <c r="M182" i="12"/>
  <c r="R12" i="12"/>
  <c r="M15" i="12"/>
  <c r="K15" i="12"/>
  <c r="L15" i="12" s="1"/>
  <c r="K62" i="12"/>
  <c r="L62" i="12" s="1"/>
  <c r="M62" i="12"/>
  <c r="M206" i="12"/>
  <c r="K206" i="12"/>
  <c r="L206" i="12" s="1"/>
  <c r="T11" i="12"/>
  <c r="K86" i="12"/>
  <c r="L86" i="12" s="1"/>
  <c r="M86" i="12"/>
  <c r="J14" i="3"/>
  <c r="K14" i="3" s="1"/>
  <c r="L14" i="3"/>
  <c r="O20" i="6"/>
  <c r="P20" i="6" s="1"/>
  <c r="N20" i="6"/>
  <c r="J166" i="12"/>
  <c r="J94" i="12"/>
  <c r="J70" i="12"/>
  <c r="J262" i="12"/>
  <c r="G279" i="12"/>
  <c r="G255" i="12"/>
  <c r="G231" i="12"/>
  <c r="G207" i="12"/>
  <c r="G183" i="12"/>
  <c r="G159" i="12"/>
  <c r="G135" i="12"/>
  <c r="G111" i="12"/>
  <c r="G87" i="12"/>
  <c r="G63" i="12"/>
  <c r="G39" i="12"/>
  <c r="G16" i="12"/>
  <c r="F15" i="3"/>
  <c r="G21" i="2"/>
  <c r="I21" i="2" s="1"/>
  <c r="C263" i="12" l="1"/>
  <c r="C95" i="12"/>
  <c r="J95" i="12" s="1"/>
  <c r="C23" i="12"/>
  <c r="J23" i="12" s="1"/>
  <c r="U20" i="12" s="1"/>
  <c r="B21" i="3"/>
  <c r="I21" i="3" s="1"/>
  <c r="C143" i="12"/>
  <c r="J143" i="12" s="1"/>
  <c r="C71" i="12"/>
  <c r="J71" i="12" s="1"/>
  <c r="C167" i="12"/>
  <c r="J167" i="12" s="1"/>
  <c r="C119" i="12"/>
  <c r="J119" i="12" s="1"/>
  <c r="C191" i="12"/>
  <c r="J191" i="12" s="1"/>
  <c r="C239" i="12"/>
  <c r="J239" i="12" s="1"/>
  <c r="C47" i="12"/>
  <c r="J47" i="12" s="1"/>
  <c r="C215" i="12"/>
  <c r="J215" i="12" s="1"/>
  <c r="C287" i="12"/>
  <c r="N21" i="6"/>
  <c r="O21" i="6"/>
  <c r="P21" i="6" s="1"/>
  <c r="J263" i="12"/>
  <c r="J287" i="12"/>
  <c r="H279" i="12"/>
  <c r="I279" i="12" s="1"/>
  <c r="H255" i="12"/>
  <c r="I255" i="12" s="1"/>
  <c r="H231" i="12"/>
  <c r="I231" i="12" s="1"/>
  <c r="H207" i="12"/>
  <c r="I207" i="12" s="1"/>
  <c r="H183" i="12"/>
  <c r="I183" i="12" s="1"/>
  <c r="H159" i="12"/>
  <c r="I159" i="12" s="1"/>
  <c r="H135" i="12"/>
  <c r="I135" i="12" s="1"/>
  <c r="H111" i="12"/>
  <c r="I111" i="12" s="1"/>
  <c r="H87" i="12"/>
  <c r="I87" i="12" s="1"/>
  <c r="H63" i="12"/>
  <c r="I63" i="12" s="1"/>
  <c r="H39" i="12"/>
  <c r="I39" i="12" s="1"/>
  <c r="H16" i="12"/>
  <c r="I16" i="12" s="1"/>
  <c r="G15" i="3"/>
  <c r="H15" i="3" s="1"/>
  <c r="G22" i="2"/>
  <c r="I22" i="2" s="1"/>
  <c r="C240" i="12" l="1"/>
  <c r="B22" i="3"/>
  <c r="C96" i="12"/>
  <c r="J96" i="12" s="1"/>
  <c r="C24" i="12"/>
  <c r="J24" i="12" s="1"/>
  <c r="U21" i="12" s="1"/>
  <c r="C192" i="12"/>
  <c r="C48" i="12"/>
  <c r="J48" i="12" s="1"/>
  <c r="C72" i="12"/>
  <c r="C144" i="12"/>
  <c r="J144" i="12" s="1"/>
  <c r="C120" i="12"/>
  <c r="J120" i="12" s="1"/>
  <c r="C288" i="12"/>
  <c r="J288" i="12" s="1"/>
  <c r="C168" i="12"/>
  <c r="J168" i="12" s="1"/>
  <c r="C264" i="12"/>
  <c r="J264" i="12" s="1"/>
  <c r="C216" i="12"/>
  <c r="T12" i="12"/>
  <c r="K87" i="12"/>
  <c r="L87" i="12" s="1"/>
  <c r="M87" i="12"/>
  <c r="K63" i="12"/>
  <c r="L63" i="12" s="1"/>
  <c r="M63" i="12"/>
  <c r="K159" i="12"/>
  <c r="L159" i="12" s="1"/>
  <c r="M159" i="12"/>
  <c r="M135" i="12"/>
  <c r="K135" i="12"/>
  <c r="L135" i="12" s="1"/>
  <c r="M207" i="12"/>
  <c r="K207" i="12"/>
  <c r="L207" i="12" s="1"/>
  <c r="K183" i="12"/>
  <c r="L183" i="12" s="1"/>
  <c r="M183" i="12"/>
  <c r="K255" i="12"/>
  <c r="L255" i="12" s="1"/>
  <c r="M255" i="12"/>
  <c r="R13" i="12"/>
  <c r="K16" i="12"/>
  <c r="L16" i="12" s="1"/>
  <c r="M16" i="12"/>
  <c r="M111" i="12"/>
  <c r="K111" i="12"/>
  <c r="L111" i="12" s="1"/>
  <c r="K231" i="12"/>
  <c r="L231" i="12" s="1"/>
  <c r="M231" i="12"/>
  <c r="K279" i="12"/>
  <c r="L279" i="12" s="1"/>
  <c r="M279" i="12"/>
  <c r="S12" i="12"/>
  <c r="M39" i="12"/>
  <c r="K39" i="12"/>
  <c r="L39" i="12" s="1"/>
  <c r="J15" i="3"/>
  <c r="K15" i="3" s="1"/>
  <c r="L15" i="3"/>
  <c r="N22" i="6"/>
  <c r="O22" i="6"/>
  <c r="P22" i="6" s="1"/>
  <c r="J192" i="12"/>
  <c r="J216" i="12"/>
  <c r="J72" i="12"/>
  <c r="J240" i="12"/>
  <c r="G280" i="12"/>
  <c r="G256" i="12"/>
  <c r="G232" i="12"/>
  <c r="G208" i="12"/>
  <c r="G184" i="12"/>
  <c r="G160" i="12"/>
  <c r="G136" i="12"/>
  <c r="G112" i="12"/>
  <c r="G88" i="12"/>
  <c r="G64" i="12"/>
  <c r="G40" i="12"/>
  <c r="G17" i="12"/>
  <c r="H17" i="12" s="1"/>
  <c r="I17" i="12" s="1"/>
  <c r="F16" i="3"/>
  <c r="G23" i="2"/>
  <c r="I23" i="2" s="1"/>
  <c r="I22" i="3"/>
  <c r="C241" i="12" l="1"/>
  <c r="C169" i="12"/>
  <c r="C73" i="12"/>
  <c r="C217" i="12"/>
  <c r="C145" i="12"/>
  <c r="J145" i="12" s="1"/>
  <c r="B23" i="3"/>
  <c r="I23" i="3" s="1"/>
  <c r="C265" i="12"/>
  <c r="J265" i="12" s="1"/>
  <c r="C97" i="12"/>
  <c r="J97" i="12" s="1"/>
  <c r="C121" i="12"/>
  <c r="J121" i="12" s="1"/>
  <c r="C25" i="12"/>
  <c r="J25" i="12" s="1"/>
  <c r="C193" i="12"/>
  <c r="J193" i="12" s="1"/>
  <c r="C49" i="12"/>
  <c r="J49" i="12" s="1"/>
  <c r="C289" i="12"/>
  <c r="R14" i="12"/>
  <c r="K17" i="12"/>
  <c r="L17" i="12" s="1"/>
  <c r="M17" i="12"/>
  <c r="N23" i="6"/>
  <c r="O23" i="6"/>
  <c r="P23" i="6" s="1"/>
  <c r="J241" i="12"/>
  <c r="J169" i="12"/>
  <c r="J73" i="12"/>
  <c r="J217" i="12"/>
  <c r="J289" i="12"/>
  <c r="H280" i="12"/>
  <c r="I280" i="12" s="1"/>
  <c r="H256" i="12"/>
  <c r="I256" i="12" s="1"/>
  <c r="H232" i="12"/>
  <c r="I232" i="12" s="1"/>
  <c r="H208" i="12"/>
  <c r="I208" i="12" s="1"/>
  <c r="H184" i="12"/>
  <c r="I184" i="12" s="1"/>
  <c r="H160" i="12"/>
  <c r="I160" i="12" s="1"/>
  <c r="H136" i="12"/>
  <c r="I136" i="12" s="1"/>
  <c r="H112" i="12"/>
  <c r="I112" i="12" s="1"/>
  <c r="H88" i="12"/>
  <c r="I88" i="12" s="1"/>
  <c r="H64" i="12"/>
  <c r="I64" i="12" s="1"/>
  <c r="H40" i="12"/>
  <c r="I40" i="12" s="1"/>
  <c r="G18" i="12"/>
  <c r="G16" i="3"/>
  <c r="H16" i="3" s="1"/>
  <c r="G24" i="2"/>
  <c r="I24" i="2" s="1"/>
  <c r="C242" i="12" l="1"/>
  <c r="C290" i="12"/>
  <c r="C74" i="12"/>
  <c r="C50" i="12"/>
  <c r="C122" i="12"/>
  <c r="J122" i="12" s="1"/>
  <c r="B11" i="4" s="1"/>
  <c r="C146" i="12"/>
  <c r="C98" i="12"/>
  <c r="J98" i="12" s="1"/>
  <c r="B10" i="4" s="1"/>
  <c r="C170" i="12"/>
  <c r="B24" i="3"/>
  <c r="I24" i="3" s="1"/>
  <c r="C218" i="12"/>
  <c r="J218" i="12" s="1"/>
  <c r="B15" i="4" s="1"/>
  <c r="C194" i="12"/>
  <c r="J194" i="12" s="1"/>
  <c r="B14" i="4" s="1"/>
  <c r="C266" i="12"/>
  <c r="J266" i="12" s="1"/>
  <c r="B17" i="4" s="1"/>
  <c r="C26" i="12"/>
  <c r="K256" i="12"/>
  <c r="L256" i="12" s="1"/>
  <c r="M256" i="12"/>
  <c r="M160" i="12"/>
  <c r="K160" i="12"/>
  <c r="L160" i="12" s="1"/>
  <c r="M136" i="12"/>
  <c r="K136" i="12"/>
  <c r="L136" i="12" s="1"/>
  <c r="K184" i="12"/>
  <c r="L184" i="12" s="1"/>
  <c r="M184" i="12"/>
  <c r="K208" i="12"/>
  <c r="L208" i="12" s="1"/>
  <c r="M208" i="12"/>
  <c r="K280" i="12"/>
  <c r="L280" i="12" s="1"/>
  <c r="M280" i="12"/>
  <c r="K232" i="12"/>
  <c r="L232" i="12" s="1"/>
  <c r="M232" i="12"/>
  <c r="S13" i="12"/>
  <c r="M40" i="12"/>
  <c r="K40" i="12"/>
  <c r="L40" i="12" s="1"/>
  <c r="M64" i="12"/>
  <c r="K64" i="12"/>
  <c r="L64" i="12" s="1"/>
  <c r="T13" i="12"/>
  <c r="K88" i="12"/>
  <c r="L88" i="12" s="1"/>
  <c r="M88" i="12"/>
  <c r="K112" i="12"/>
  <c r="L112" i="12" s="1"/>
  <c r="M112" i="12"/>
  <c r="J16" i="3"/>
  <c r="K16" i="3" s="1"/>
  <c r="L16" i="3"/>
  <c r="N24" i="6"/>
  <c r="O24" i="6"/>
  <c r="P24" i="6" s="1"/>
  <c r="J26" i="12"/>
  <c r="U23" i="12" s="1"/>
  <c r="U22" i="12"/>
  <c r="J290" i="12"/>
  <c r="B18" i="4" s="1"/>
  <c r="J74" i="12"/>
  <c r="B9" i="4" s="1"/>
  <c r="J146" i="12"/>
  <c r="B12" i="4" s="1"/>
  <c r="J170" i="12"/>
  <c r="B13" i="4" s="1"/>
  <c r="J50" i="12"/>
  <c r="B8" i="4" s="1"/>
  <c r="J242" i="12"/>
  <c r="B16" i="4" s="1"/>
  <c r="G281" i="12"/>
  <c r="G257" i="12"/>
  <c r="G233" i="12"/>
  <c r="G209" i="12"/>
  <c r="G185" i="12"/>
  <c r="G161" i="12"/>
  <c r="G137" i="12"/>
  <c r="G113" i="12"/>
  <c r="G89" i="12"/>
  <c r="G65" i="12"/>
  <c r="G41" i="12"/>
  <c r="H18" i="12"/>
  <c r="I18" i="12" s="1"/>
  <c r="F17" i="3"/>
  <c r="G17" i="3" s="1"/>
  <c r="H17" i="3" s="1"/>
  <c r="R15" i="12" l="1"/>
  <c r="K18" i="12"/>
  <c r="L18" i="12" s="1"/>
  <c r="M18" i="12"/>
  <c r="L17" i="3"/>
  <c r="J17" i="3"/>
  <c r="K17" i="3" s="1"/>
  <c r="N25" i="6"/>
  <c r="O25" i="6"/>
  <c r="P25" i="6" s="1"/>
  <c r="B7" i="4"/>
  <c r="K5" i="4" s="1"/>
  <c r="C5" i="5" s="1"/>
  <c r="H281" i="12"/>
  <c r="I281" i="12" s="1"/>
  <c r="H257" i="12"/>
  <c r="I257" i="12" s="1"/>
  <c r="H233" i="12"/>
  <c r="I233" i="12" s="1"/>
  <c r="H209" i="12"/>
  <c r="I209" i="12" s="1"/>
  <c r="H185" i="12"/>
  <c r="I185" i="12" s="1"/>
  <c r="H161" i="12"/>
  <c r="I161" i="12" s="1"/>
  <c r="H137" i="12"/>
  <c r="I137" i="12" s="1"/>
  <c r="H113" i="12"/>
  <c r="I113" i="12" s="1"/>
  <c r="H89" i="12"/>
  <c r="I89" i="12" s="1"/>
  <c r="H65" i="12"/>
  <c r="I65" i="12" s="1"/>
  <c r="H41" i="12"/>
  <c r="I41" i="12" s="1"/>
  <c r="G19" i="12"/>
  <c r="H19" i="12" s="1"/>
  <c r="I19" i="12" s="1"/>
  <c r="F18" i="3"/>
  <c r="G18" i="3" s="1"/>
  <c r="H18" i="3" s="1"/>
  <c r="K257" i="12" l="1"/>
  <c r="L257" i="12" s="1"/>
  <c r="M257" i="12"/>
  <c r="K281" i="12"/>
  <c r="L281" i="12" s="1"/>
  <c r="M281" i="12"/>
  <c r="K113" i="12"/>
  <c r="L113" i="12" s="1"/>
  <c r="M113" i="12"/>
  <c r="K233" i="12"/>
  <c r="L233" i="12" s="1"/>
  <c r="M233" i="12"/>
  <c r="K209" i="12"/>
  <c r="L209" i="12" s="1"/>
  <c r="M209" i="12"/>
  <c r="R16" i="12"/>
  <c r="K19" i="12"/>
  <c r="L19" i="12" s="1"/>
  <c r="M19" i="12"/>
  <c r="M65" i="12"/>
  <c r="K65" i="12"/>
  <c r="L65" i="12" s="1"/>
  <c r="T14" i="12"/>
  <c r="K89" i="12"/>
  <c r="L89" i="12" s="1"/>
  <c r="M89" i="12"/>
  <c r="S14" i="12"/>
  <c r="M41" i="12"/>
  <c r="K41" i="12"/>
  <c r="L41" i="12" s="1"/>
  <c r="M137" i="12"/>
  <c r="K137" i="12"/>
  <c r="L137" i="12" s="1"/>
  <c r="M161" i="12"/>
  <c r="K161" i="12"/>
  <c r="L161" i="12" s="1"/>
  <c r="K185" i="12"/>
  <c r="L185" i="12" s="1"/>
  <c r="M185" i="12"/>
  <c r="L18" i="3"/>
  <c r="J18" i="3"/>
  <c r="K18" i="3" s="1"/>
  <c r="N26" i="6"/>
  <c r="O26" i="6"/>
  <c r="P26" i="6" s="1"/>
  <c r="G282" i="12"/>
  <c r="G258" i="12"/>
  <c r="G234" i="12"/>
  <c r="G210" i="12"/>
  <c r="G186" i="12"/>
  <c r="G162" i="12"/>
  <c r="G138" i="12"/>
  <c r="G114" i="12"/>
  <c r="G90" i="12"/>
  <c r="G66" i="12"/>
  <c r="G42" i="12"/>
  <c r="G20" i="12"/>
  <c r="H20" i="12" s="1"/>
  <c r="I20" i="12" s="1"/>
  <c r="F19" i="3"/>
  <c r="G19" i="3" s="1"/>
  <c r="H19" i="3" s="1"/>
  <c r="R17" i="12" l="1"/>
  <c r="K20" i="12"/>
  <c r="L20" i="12" s="1"/>
  <c r="M20" i="12"/>
  <c r="L19" i="3"/>
  <c r="J19" i="3"/>
  <c r="K19" i="3" s="1"/>
  <c r="O27" i="6"/>
  <c r="P27" i="6" s="1"/>
  <c r="H282" i="12"/>
  <c r="I282" i="12" s="1"/>
  <c r="H258" i="12"/>
  <c r="I258" i="12" s="1"/>
  <c r="H234" i="12"/>
  <c r="I234" i="12" s="1"/>
  <c r="H210" i="12"/>
  <c r="I210" i="12" s="1"/>
  <c r="H186" i="12"/>
  <c r="I186" i="12" s="1"/>
  <c r="H162" i="12"/>
  <c r="I162" i="12" s="1"/>
  <c r="H138" i="12"/>
  <c r="I138" i="12" s="1"/>
  <c r="H114" i="12"/>
  <c r="I114" i="12" s="1"/>
  <c r="H90" i="12"/>
  <c r="I90" i="12" s="1"/>
  <c r="H66" i="12"/>
  <c r="I66" i="12" s="1"/>
  <c r="H42" i="12"/>
  <c r="I42" i="12" s="1"/>
  <c r="G21" i="12"/>
  <c r="H21" i="12" s="1"/>
  <c r="I21" i="12" s="1"/>
  <c r="F20" i="3"/>
  <c r="K186" i="12" l="1"/>
  <c r="L186" i="12" s="1"/>
  <c r="M186" i="12"/>
  <c r="K234" i="12"/>
  <c r="L234" i="12" s="1"/>
  <c r="M234" i="12"/>
  <c r="K282" i="12"/>
  <c r="L282" i="12" s="1"/>
  <c r="M282" i="12"/>
  <c r="M66" i="12"/>
  <c r="K66" i="12"/>
  <c r="L66" i="12" s="1"/>
  <c r="K210" i="12"/>
  <c r="L210" i="12" s="1"/>
  <c r="M210" i="12"/>
  <c r="R18" i="12"/>
  <c r="K21" i="12"/>
  <c r="L21" i="12" s="1"/>
  <c r="M21" i="12"/>
  <c r="M162" i="12"/>
  <c r="K162" i="12"/>
  <c r="L162" i="12" s="1"/>
  <c r="K258" i="12"/>
  <c r="L258" i="12" s="1"/>
  <c r="M258" i="12"/>
  <c r="S15" i="12"/>
  <c r="M42" i="12"/>
  <c r="K42" i="12"/>
  <c r="L42" i="12" s="1"/>
  <c r="T15" i="12"/>
  <c r="K90" i="12"/>
  <c r="L90" i="12" s="1"/>
  <c r="M90" i="12"/>
  <c r="K114" i="12"/>
  <c r="L114" i="12" s="1"/>
  <c r="M114" i="12"/>
  <c r="M138" i="12"/>
  <c r="K138" i="12"/>
  <c r="L138" i="12" s="1"/>
  <c r="N28" i="6"/>
  <c r="O28" i="6"/>
  <c r="P28" i="6" s="1"/>
  <c r="G283" i="12"/>
  <c r="G259" i="12"/>
  <c r="G235" i="12"/>
  <c r="G211" i="12"/>
  <c r="G187" i="12"/>
  <c r="G163" i="12"/>
  <c r="G139" i="12"/>
  <c r="G115" i="12"/>
  <c r="G91" i="12"/>
  <c r="G67" i="12"/>
  <c r="G43" i="12"/>
  <c r="G22" i="12"/>
  <c r="H22" i="12" s="1"/>
  <c r="I22" i="12" s="1"/>
  <c r="G20" i="3"/>
  <c r="H20" i="3" s="1"/>
  <c r="R19" i="12" l="1"/>
  <c r="M22" i="12"/>
  <c r="K22" i="12"/>
  <c r="L22" i="12" s="1"/>
  <c r="L20" i="3"/>
  <c r="J20" i="3"/>
  <c r="K20" i="3" s="1"/>
  <c r="N29" i="6"/>
  <c r="O29" i="6"/>
  <c r="P29" i="6" s="1"/>
  <c r="H283" i="12"/>
  <c r="I283" i="12" s="1"/>
  <c r="H259" i="12"/>
  <c r="I259" i="12" s="1"/>
  <c r="H235" i="12"/>
  <c r="I235" i="12" s="1"/>
  <c r="H211" i="12"/>
  <c r="I211" i="12" s="1"/>
  <c r="H187" i="12"/>
  <c r="I187" i="12" s="1"/>
  <c r="H163" i="12"/>
  <c r="I163" i="12" s="1"/>
  <c r="H139" i="12"/>
  <c r="I139" i="12" s="1"/>
  <c r="H115" i="12"/>
  <c r="I115" i="12" s="1"/>
  <c r="H91" i="12"/>
  <c r="I91" i="12" s="1"/>
  <c r="H67" i="12"/>
  <c r="I67" i="12" s="1"/>
  <c r="H43" i="12"/>
  <c r="I43" i="12" s="1"/>
  <c r="G23" i="12"/>
  <c r="F21" i="3"/>
  <c r="K211" i="12" l="1"/>
  <c r="L211" i="12" s="1"/>
  <c r="M211" i="12"/>
  <c r="M259" i="12"/>
  <c r="K259" i="12"/>
  <c r="L259" i="12" s="1"/>
  <c r="M67" i="12"/>
  <c r="K67" i="12"/>
  <c r="L67" i="12" s="1"/>
  <c r="M235" i="12"/>
  <c r="K235" i="12"/>
  <c r="L235" i="12" s="1"/>
  <c r="T16" i="12"/>
  <c r="M91" i="12"/>
  <c r="K91" i="12"/>
  <c r="L91" i="12" s="1"/>
  <c r="K115" i="12"/>
  <c r="L115" i="12" s="1"/>
  <c r="M115" i="12"/>
  <c r="M187" i="12"/>
  <c r="K187" i="12"/>
  <c r="L187" i="12" s="1"/>
  <c r="M283" i="12"/>
  <c r="K283" i="12"/>
  <c r="L283" i="12" s="1"/>
  <c r="S16" i="12"/>
  <c r="K43" i="12"/>
  <c r="L43" i="12" s="1"/>
  <c r="M43" i="12"/>
  <c r="K139" i="12"/>
  <c r="L139" i="12" s="1"/>
  <c r="M139" i="12"/>
  <c r="M163" i="12"/>
  <c r="K163" i="12"/>
  <c r="L163" i="12" s="1"/>
  <c r="N30" i="6"/>
  <c r="O30" i="6"/>
  <c r="P30" i="6" s="1"/>
  <c r="G284" i="12"/>
  <c r="G260" i="12"/>
  <c r="G236" i="12"/>
  <c r="G212" i="12"/>
  <c r="G188" i="12"/>
  <c r="G164" i="12"/>
  <c r="G140" i="12"/>
  <c r="G116" i="12"/>
  <c r="G92" i="12"/>
  <c r="G68" i="12"/>
  <c r="G44" i="12"/>
  <c r="H23" i="12"/>
  <c r="I23" i="12" s="1"/>
  <c r="G21" i="3"/>
  <c r="H21" i="3" s="1"/>
  <c r="R20" i="12" l="1"/>
  <c r="M23" i="12"/>
  <c r="K23" i="12"/>
  <c r="L23" i="12" s="1"/>
  <c r="J21" i="3"/>
  <c r="K21" i="3" s="1"/>
  <c r="L21" i="3"/>
  <c r="O31" i="6"/>
  <c r="P31" i="6" s="1"/>
  <c r="N31" i="6"/>
  <c r="H284" i="12"/>
  <c r="I284" i="12" s="1"/>
  <c r="H260" i="12"/>
  <c r="I260" i="12" s="1"/>
  <c r="H236" i="12"/>
  <c r="I236" i="12" s="1"/>
  <c r="H212" i="12"/>
  <c r="I212" i="12" s="1"/>
  <c r="H188" i="12"/>
  <c r="I188" i="12" s="1"/>
  <c r="H164" i="12"/>
  <c r="I164" i="12" s="1"/>
  <c r="H140" i="12"/>
  <c r="I140" i="12" s="1"/>
  <c r="H116" i="12"/>
  <c r="I116" i="12" s="1"/>
  <c r="H92" i="12"/>
  <c r="I92" i="12" s="1"/>
  <c r="H68" i="12"/>
  <c r="I68" i="12" s="1"/>
  <c r="H44" i="12"/>
  <c r="I44" i="12" s="1"/>
  <c r="G24" i="12"/>
  <c r="F22" i="3"/>
  <c r="K212" i="12" l="1"/>
  <c r="L212" i="12" s="1"/>
  <c r="M212" i="12"/>
  <c r="S17" i="12"/>
  <c r="K44" i="12"/>
  <c r="L44" i="12" s="1"/>
  <c r="M44" i="12"/>
  <c r="M236" i="12"/>
  <c r="K236" i="12"/>
  <c r="L236" i="12" s="1"/>
  <c r="M68" i="12"/>
  <c r="K68" i="12"/>
  <c r="L68" i="12" s="1"/>
  <c r="K116" i="12"/>
  <c r="L116" i="12" s="1"/>
  <c r="M116" i="12"/>
  <c r="M260" i="12"/>
  <c r="K260" i="12"/>
  <c r="L260" i="12" s="1"/>
  <c r="M188" i="12"/>
  <c r="K188" i="12"/>
  <c r="L188" i="12" s="1"/>
  <c r="M284" i="12"/>
  <c r="K284" i="12"/>
  <c r="L284" i="12" s="1"/>
  <c r="T17" i="12"/>
  <c r="M92" i="12"/>
  <c r="K92" i="12"/>
  <c r="L92" i="12" s="1"/>
  <c r="K140" i="12"/>
  <c r="L140" i="12" s="1"/>
  <c r="M140" i="12"/>
  <c r="M164" i="12"/>
  <c r="K164" i="12"/>
  <c r="L164" i="12" s="1"/>
  <c r="O32" i="6"/>
  <c r="P32" i="6" s="1"/>
  <c r="N32" i="6"/>
  <c r="G285" i="12"/>
  <c r="G261" i="12"/>
  <c r="G237" i="12"/>
  <c r="G213" i="12"/>
  <c r="G189" i="12"/>
  <c r="G165" i="12"/>
  <c r="G141" i="12"/>
  <c r="G117" i="12"/>
  <c r="G93" i="12"/>
  <c r="G69" i="12"/>
  <c r="G45" i="12"/>
  <c r="H24" i="12"/>
  <c r="I24" i="12" s="1"/>
  <c r="G22" i="3"/>
  <c r="H22" i="3" s="1"/>
  <c r="R21" i="12" l="1"/>
  <c r="M24" i="12"/>
  <c r="K24" i="12"/>
  <c r="L24" i="12" s="1"/>
  <c r="L22" i="3"/>
  <c r="J22" i="3"/>
  <c r="K22" i="3" s="1"/>
  <c r="O33" i="6"/>
  <c r="P33" i="6" s="1"/>
  <c r="N33" i="6"/>
  <c r="H285" i="12"/>
  <c r="I285" i="12" s="1"/>
  <c r="H261" i="12"/>
  <c r="I261" i="12" s="1"/>
  <c r="H237" i="12"/>
  <c r="I237" i="12" s="1"/>
  <c r="H213" i="12"/>
  <c r="I213" i="12" s="1"/>
  <c r="H189" i="12"/>
  <c r="I189" i="12" s="1"/>
  <c r="H165" i="12"/>
  <c r="I165" i="12" s="1"/>
  <c r="H141" i="12"/>
  <c r="I141" i="12" s="1"/>
  <c r="H117" i="12"/>
  <c r="I117" i="12" s="1"/>
  <c r="H93" i="12"/>
  <c r="I93" i="12" s="1"/>
  <c r="H69" i="12"/>
  <c r="I69" i="12" s="1"/>
  <c r="H45" i="12"/>
  <c r="I45" i="12" s="1"/>
  <c r="G25" i="12"/>
  <c r="F23" i="3"/>
  <c r="M237" i="12" l="1"/>
  <c r="K237" i="12"/>
  <c r="L237" i="12" s="1"/>
  <c r="M189" i="12"/>
  <c r="K189" i="12"/>
  <c r="L189" i="12" s="1"/>
  <c r="S18" i="12"/>
  <c r="K45" i="12"/>
  <c r="L45" i="12" s="1"/>
  <c r="M45" i="12"/>
  <c r="M261" i="12"/>
  <c r="K261" i="12"/>
  <c r="L261" i="12" s="1"/>
  <c r="K117" i="12"/>
  <c r="L117" i="12" s="1"/>
  <c r="M117" i="12"/>
  <c r="K213" i="12"/>
  <c r="L213" i="12" s="1"/>
  <c r="M213" i="12"/>
  <c r="M285" i="12"/>
  <c r="K285" i="12"/>
  <c r="L285" i="12" s="1"/>
  <c r="M69" i="12"/>
  <c r="K69" i="12"/>
  <c r="L69" i="12" s="1"/>
  <c r="T18" i="12"/>
  <c r="M93" i="12"/>
  <c r="K93" i="12"/>
  <c r="L93" i="12" s="1"/>
  <c r="K141" i="12"/>
  <c r="L141" i="12" s="1"/>
  <c r="M141" i="12"/>
  <c r="M165" i="12"/>
  <c r="K165" i="12"/>
  <c r="L165" i="12" s="1"/>
  <c r="N34" i="6"/>
  <c r="O34" i="6"/>
  <c r="P34" i="6" s="1"/>
  <c r="G286" i="12"/>
  <c r="G262" i="12"/>
  <c r="G238" i="12"/>
  <c r="G214" i="12"/>
  <c r="G190" i="12"/>
  <c r="G166" i="12"/>
  <c r="G142" i="12"/>
  <c r="G118" i="12"/>
  <c r="G94" i="12"/>
  <c r="G70" i="12"/>
  <c r="G46" i="12"/>
  <c r="H25" i="12"/>
  <c r="I25" i="12" s="1"/>
  <c r="G23" i="3"/>
  <c r="H23" i="3" s="1"/>
  <c r="R22" i="12" l="1"/>
  <c r="M25" i="12"/>
  <c r="K25" i="12"/>
  <c r="L25" i="12" s="1"/>
  <c r="L23" i="3"/>
  <c r="J23" i="3"/>
  <c r="K23" i="3" s="1"/>
  <c r="N35" i="6"/>
  <c r="O35" i="6"/>
  <c r="P35" i="6" s="1"/>
  <c r="F24" i="3"/>
  <c r="H286" i="12"/>
  <c r="I286" i="12" s="1"/>
  <c r="H262" i="12"/>
  <c r="I262" i="12" s="1"/>
  <c r="H238" i="12"/>
  <c r="I238" i="12" s="1"/>
  <c r="H214" i="12"/>
  <c r="I214" i="12" s="1"/>
  <c r="H190" i="12"/>
  <c r="I190" i="12" s="1"/>
  <c r="H166" i="12"/>
  <c r="I166" i="12" s="1"/>
  <c r="H142" i="12"/>
  <c r="I142" i="12" s="1"/>
  <c r="H118" i="12"/>
  <c r="I118" i="12" s="1"/>
  <c r="H94" i="12"/>
  <c r="I94" i="12" s="1"/>
  <c r="H70" i="12"/>
  <c r="I70" i="12" s="1"/>
  <c r="H46" i="12"/>
  <c r="I46" i="12" s="1"/>
  <c r="G26" i="12"/>
  <c r="M238" i="12" l="1"/>
  <c r="K238" i="12"/>
  <c r="L238" i="12" s="1"/>
  <c r="K70" i="12"/>
  <c r="L70" i="12" s="1"/>
  <c r="M70" i="12"/>
  <c r="M214" i="12"/>
  <c r="K214" i="12"/>
  <c r="L214" i="12" s="1"/>
  <c r="M286" i="12"/>
  <c r="K286" i="12"/>
  <c r="L286" i="12" s="1"/>
  <c r="S19" i="12"/>
  <c r="K46" i="12"/>
  <c r="L46" i="12" s="1"/>
  <c r="M46" i="12"/>
  <c r="M118" i="12"/>
  <c r="K118" i="12"/>
  <c r="L118" i="12" s="1"/>
  <c r="M262" i="12"/>
  <c r="K262" i="12"/>
  <c r="L262" i="12" s="1"/>
  <c r="T19" i="12"/>
  <c r="M94" i="12"/>
  <c r="K94" i="12"/>
  <c r="L94" i="12" s="1"/>
  <c r="K142" i="12"/>
  <c r="L142" i="12" s="1"/>
  <c r="M142" i="12"/>
  <c r="K166" i="12"/>
  <c r="L166" i="12" s="1"/>
  <c r="M166" i="12"/>
  <c r="M190" i="12"/>
  <c r="K190" i="12"/>
  <c r="L190" i="12" s="1"/>
  <c r="N36" i="6"/>
  <c r="O36" i="6"/>
  <c r="P36" i="6" s="1"/>
  <c r="G287" i="12"/>
  <c r="G263" i="12"/>
  <c r="G239" i="12"/>
  <c r="G215" i="12"/>
  <c r="G191" i="12"/>
  <c r="G167" i="12"/>
  <c r="G143" i="12"/>
  <c r="G119" i="12"/>
  <c r="G95" i="12"/>
  <c r="G71" i="12"/>
  <c r="G47" i="12"/>
  <c r="H26" i="12"/>
  <c r="I26" i="12" s="1"/>
  <c r="G24" i="3"/>
  <c r="R23" i="12" l="1"/>
  <c r="M26" i="12"/>
  <c r="K26" i="12"/>
  <c r="L26" i="12" s="1"/>
  <c r="N37" i="6"/>
  <c r="O37" i="6"/>
  <c r="P37" i="6" s="1"/>
  <c r="H24" i="3"/>
  <c r="C7" i="4"/>
  <c r="H287" i="12"/>
  <c r="I287" i="12" s="1"/>
  <c r="H263" i="12"/>
  <c r="I263" i="12" s="1"/>
  <c r="H239" i="12"/>
  <c r="I239" i="12" s="1"/>
  <c r="H215" i="12"/>
  <c r="I215" i="12" s="1"/>
  <c r="H191" i="12"/>
  <c r="I191" i="12" s="1"/>
  <c r="H167" i="12"/>
  <c r="I167" i="12" s="1"/>
  <c r="H143" i="12"/>
  <c r="I143" i="12" s="1"/>
  <c r="H119" i="12"/>
  <c r="I119" i="12" s="1"/>
  <c r="H95" i="12"/>
  <c r="I95" i="12" s="1"/>
  <c r="H71" i="12"/>
  <c r="I71" i="12" s="1"/>
  <c r="H47" i="12"/>
  <c r="I47" i="12" s="1"/>
  <c r="M191" i="12" l="1"/>
  <c r="K191" i="12"/>
  <c r="L191" i="12" s="1"/>
  <c r="M215" i="12"/>
  <c r="K215" i="12"/>
  <c r="L215" i="12" s="1"/>
  <c r="M287" i="12"/>
  <c r="K287" i="12"/>
  <c r="L287" i="12" s="1"/>
  <c r="S20" i="12"/>
  <c r="K47" i="12"/>
  <c r="L47" i="12" s="1"/>
  <c r="M47" i="12"/>
  <c r="K71" i="12"/>
  <c r="L71" i="12" s="1"/>
  <c r="M71" i="12"/>
  <c r="M119" i="12"/>
  <c r="K119" i="12"/>
  <c r="L119" i="12" s="1"/>
  <c r="M263" i="12"/>
  <c r="K263" i="12"/>
  <c r="L263" i="12" s="1"/>
  <c r="T20" i="12"/>
  <c r="M95" i="12"/>
  <c r="K95" i="12"/>
  <c r="L95" i="12" s="1"/>
  <c r="M239" i="12"/>
  <c r="K239" i="12"/>
  <c r="L239" i="12" s="1"/>
  <c r="K143" i="12"/>
  <c r="L143" i="12" s="1"/>
  <c r="M143" i="12"/>
  <c r="K167" i="12"/>
  <c r="L167" i="12" s="1"/>
  <c r="M167" i="12"/>
  <c r="J24" i="3"/>
  <c r="K24" i="3" s="1"/>
  <c r="L24" i="3"/>
  <c r="N38" i="6"/>
  <c r="O38" i="6"/>
  <c r="P38" i="6" s="1"/>
  <c r="F7" i="4"/>
  <c r="G7" i="4"/>
  <c r="D7" i="4"/>
  <c r="E7" i="4" s="1"/>
  <c r="G288" i="12"/>
  <c r="G264" i="12"/>
  <c r="G240" i="12"/>
  <c r="G216" i="12"/>
  <c r="G192" i="12"/>
  <c r="G168" i="12"/>
  <c r="G144" i="12"/>
  <c r="G120" i="12"/>
  <c r="G96" i="12"/>
  <c r="G72" i="12"/>
  <c r="G48" i="12"/>
  <c r="N39" i="6" l="1"/>
  <c r="O39" i="6"/>
  <c r="P39" i="6" s="1"/>
  <c r="H288" i="12"/>
  <c r="I288" i="12" s="1"/>
  <c r="H264" i="12"/>
  <c r="I264" i="12" s="1"/>
  <c r="H240" i="12"/>
  <c r="I240" i="12" s="1"/>
  <c r="H216" i="12"/>
  <c r="I216" i="12" s="1"/>
  <c r="H192" i="12"/>
  <c r="I192" i="12" s="1"/>
  <c r="H168" i="12"/>
  <c r="I168" i="12" s="1"/>
  <c r="H144" i="12"/>
  <c r="I144" i="12" s="1"/>
  <c r="H120" i="12"/>
  <c r="I120" i="12" s="1"/>
  <c r="H96" i="12"/>
  <c r="I96" i="12" s="1"/>
  <c r="H72" i="12"/>
  <c r="I72" i="12" s="1"/>
  <c r="H48" i="12"/>
  <c r="I48" i="12" s="1"/>
  <c r="M120" i="12" l="1"/>
  <c r="K120" i="12"/>
  <c r="L120" i="12" s="1"/>
  <c r="K72" i="12"/>
  <c r="L72" i="12" s="1"/>
  <c r="M72" i="12"/>
  <c r="K144" i="12"/>
  <c r="L144" i="12" s="1"/>
  <c r="M144" i="12"/>
  <c r="K168" i="12"/>
  <c r="L168" i="12" s="1"/>
  <c r="M168" i="12"/>
  <c r="M240" i="12"/>
  <c r="K240" i="12"/>
  <c r="L240" i="12" s="1"/>
  <c r="T21" i="12"/>
  <c r="M96" i="12"/>
  <c r="K96" i="12"/>
  <c r="L96" i="12" s="1"/>
  <c r="M192" i="12"/>
  <c r="K192" i="12"/>
  <c r="L192" i="12" s="1"/>
  <c r="M216" i="12"/>
  <c r="K216" i="12"/>
  <c r="L216" i="12" s="1"/>
  <c r="M264" i="12"/>
  <c r="K264" i="12"/>
  <c r="L264" i="12" s="1"/>
  <c r="M288" i="12"/>
  <c r="K288" i="12"/>
  <c r="L288" i="12" s="1"/>
  <c r="S21" i="12"/>
  <c r="K48" i="12"/>
  <c r="L48" i="12" s="1"/>
  <c r="M48" i="12"/>
  <c r="N40" i="6"/>
  <c r="O40" i="6"/>
  <c r="P40" i="6" s="1"/>
  <c r="G289" i="12"/>
  <c r="G265" i="12"/>
  <c r="G241" i="12"/>
  <c r="G217" i="12"/>
  <c r="G193" i="12"/>
  <c r="G169" i="12"/>
  <c r="G145" i="12"/>
  <c r="G121" i="12"/>
  <c r="G97" i="12"/>
  <c r="G73" i="12"/>
  <c r="G49" i="12"/>
  <c r="N41" i="6" l="1"/>
  <c r="O41" i="6"/>
  <c r="P41" i="6" s="1"/>
  <c r="H289" i="12"/>
  <c r="I289" i="12" s="1"/>
  <c r="H265" i="12"/>
  <c r="I265" i="12" s="1"/>
  <c r="H241" i="12"/>
  <c r="I241" i="12" s="1"/>
  <c r="H217" i="12"/>
  <c r="I217" i="12" s="1"/>
  <c r="H193" i="12"/>
  <c r="I193" i="12" s="1"/>
  <c r="H169" i="12"/>
  <c r="I169" i="12" s="1"/>
  <c r="H145" i="12"/>
  <c r="I145" i="12" s="1"/>
  <c r="H121" i="12"/>
  <c r="I121" i="12" s="1"/>
  <c r="H97" i="12"/>
  <c r="I97" i="12" s="1"/>
  <c r="H73" i="12"/>
  <c r="I73" i="12" s="1"/>
  <c r="H49" i="12"/>
  <c r="I49" i="12" s="1"/>
  <c r="K73" i="12" l="1"/>
  <c r="L73" i="12" s="1"/>
  <c r="M73" i="12"/>
  <c r="M121" i="12"/>
  <c r="K121" i="12"/>
  <c r="L121" i="12" s="1"/>
  <c r="K193" i="12"/>
  <c r="L193" i="12" s="1"/>
  <c r="M193" i="12"/>
  <c r="M145" i="12"/>
  <c r="K145" i="12"/>
  <c r="L145" i="12" s="1"/>
  <c r="M217" i="12"/>
  <c r="K217" i="12"/>
  <c r="L217" i="12" s="1"/>
  <c r="M265" i="12"/>
  <c r="K265" i="12"/>
  <c r="L265" i="12" s="1"/>
  <c r="M289" i="12"/>
  <c r="K289" i="12"/>
  <c r="L289" i="12" s="1"/>
  <c r="T22" i="12"/>
  <c r="K97" i="12"/>
  <c r="L97" i="12" s="1"/>
  <c r="M97" i="12"/>
  <c r="K169" i="12"/>
  <c r="L169" i="12" s="1"/>
  <c r="M169" i="12"/>
  <c r="M241" i="12"/>
  <c r="K241" i="12"/>
  <c r="L241" i="12" s="1"/>
  <c r="S22" i="12"/>
  <c r="M49" i="12"/>
  <c r="K49" i="12"/>
  <c r="L49" i="12" s="1"/>
  <c r="G290" i="12"/>
  <c r="G266" i="12"/>
  <c r="G242" i="12"/>
  <c r="G218" i="12"/>
  <c r="G194" i="12"/>
  <c r="G170" i="12"/>
  <c r="G146" i="12"/>
  <c r="G122" i="12"/>
  <c r="G98" i="12"/>
  <c r="G74" i="12"/>
  <c r="G50" i="12"/>
  <c r="H290" i="12" l="1"/>
  <c r="I290" i="12" s="1"/>
  <c r="H266" i="12"/>
  <c r="I266" i="12" s="1"/>
  <c r="H242" i="12"/>
  <c r="I242" i="12" s="1"/>
  <c r="H218" i="12"/>
  <c r="I218" i="12" s="1"/>
  <c r="H194" i="12"/>
  <c r="I194" i="12" s="1"/>
  <c r="H170" i="12"/>
  <c r="I170" i="12" s="1"/>
  <c r="H146" i="12"/>
  <c r="I146" i="12" s="1"/>
  <c r="H122" i="12"/>
  <c r="I122" i="12" s="1"/>
  <c r="H98" i="12"/>
  <c r="I98" i="12" s="1"/>
  <c r="H74" i="12"/>
  <c r="I74" i="12" s="1"/>
  <c r="H50" i="12"/>
  <c r="I50" i="12" s="1"/>
  <c r="C9" i="4" l="1"/>
  <c r="D9" i="4" s="1"/>
  <c r="E9" i="4" s="1"/>
  <c r="K74" i="12"/>
  <c r="L74" i="12" s="1"/>
  <c r="M74" i="12"/>
  <c r="K98" i="12"/>
  <c r="L98" i="12" s="1"/>
  <c r="M98" i="12"/>
  <c r="C12" i="4"/>
  <c r="D12" i="4" s="1"/>
  <c r="E12" i="4" s="1"/>
  <c r="M146" i="12"/>
  <c r="K146" i="12"/>
  <c r="L146" i="12" s="1"/>
  <c r="F12" i="4" s="1"/>
  <c r="C14" i="4"/>
  <c r="D14" i="4" s="1"/>
  <c r="E14" i="4" s="1"/>
  <c r="K194" i="12"/>
  <c r="L194" i="12" s="1"/>
  <c r="F14" i="4" s="1"/>
  <c r="M194" i="12"/>
  <c r="C16" i="4"/>
  <c r="G16" i="4" s="1"/>
  <c r="M242" i="12"/>
  <c r="K242" i="12"/>
  <c r="L242" i="12" s="1"/>
  <c r="F16" i="4" s="1"/>
  <c r="M50" i="12"/>
  <c r="K50" i="12"/>
  <c r="L50" i="12" s="1"/>
  <c r="C11" i="4"/>
  <c r="M122" i="12"/>
  <c r="K122" i="12"/>
  <c r="L122" i="12" s="1"/>
  <c r="F11" i="4" s="1"/>
  <c r="C13" i="4"/>
  <c r="D13" i="4" s="1"/>
  <c r="E13" i="4" s="1"/>
  <c r="K170" i="12"/>
  <c r="L170" i="12" s="1"/>
  <c r="F13" i="4" s="1"/>
  <c r="M170" i="12"/>
  <c r="C15" i="4"/>
  <c r="D15" i="4" s="1"/>
  <c r="E15" i="4" s="1"/>
  <c r="M218" i="12"/>
  <c r="K218" i="12"/>
  <c r="L218" i="12" s="1"/>
  <c r="F15" i="4" s="1"/>
  <c r="C17" i="4"/>
  <c r="M266" i="12"/>
  <c r="K266" i="12"/>
  <c r="L266" i="12" s="1"/>
  <c r="F17" i="4" s="1"/>
  <c r="C18" i="4"/>
  <c r="M290" i="12"/>
  <c r="K290" i="12"/>
  <c r="L290" i="12" s="1"/>
  <c r="F18" i="4" s="1"/>
  <c r="C8" i="4"/>
  <c r="G8" i="4" s="1"/>
  <c r="S23" i="12"/>
  <c r="C10" i="4"/>
  <c r="D10" i="4" s="1"/>
  <c r="E10" i="4" s="1"/>
  <c r="T23" i="12"/>
  <c r="K4" i="4"/>
  <c r="G9" i="4"/>
  <c r="G17" i="4"/>
  <c r="D17" i="4"/>
  <c r="E17" i="4" s="1"/>
  <c r="D11" i="4"/>
  <c r="E11" i="4" s="1"/>
  <c r="G11" i="4"/>
  <c r="G18" i="4"/>
  <c r="D18" i="4"/>
  <c r="E18" i="4" s="1"/>
  <c r="F10" i="4"/>
  <c r="F9" i="4"/>
  <c r="F8" i="4"/>
  <c r="D8" i="4" l="1"/>
  <c r="E8" i="4" s="1"/>
  <c r="K1" i="4"/>
  <c r="K2" i="4" s="1"/>
  <c r="G13" i="4"/>
  <c r="G12" i="4"/>
  <c r="G14" i="4"/>
  <c r="D16" i="4"/>
  <c r="E16" i="4" s="1"/>
  <c r="G15" i="4"/>
  <c r="G10" i="4"/>
  <c r="K3" i="4" s="1"/>
  <c r="I5" i="5"/>
  <c r="O5" i="5"/>
  <c r="A20" i="4" l="1"/>
</calcChain>
</file>

<file path=xl/sharedStrings.xml><?xml version="1.0" encoding="utf-8"?>
<sst xmlns="http://schemas.openxmlformats.org/spreadsheetml/2006/main" count="560" uniqueCount="103">
  <si>
    <t>сумма вложений</t>
  </si>
  <si>
    <t>регулярность</t>
  </si>
  <si>
    <t xml:space="preserve">год начала </t>
  </si>
  <si>
    <t>год окончания</t>
  </si>
  <si>
    <t>раз в месяц</t>
  </si>
  <si>
    <t>Стратегии для расчета</t>
  </si>
  <si>
    <t>Вклады 100%</t>
  </si>
  <si>
    <t>Акции 100%</t>
  </si>
  <si>
    <t>Облигации 100%</t>
  </si>
  <si>
    <t>НАСТРОЙКИ ПРОЕКТА</t>
  </si>
  <si>
    <t>Год</t>
  </si>
  <si>
    <t>Акции(MCFTR)</t>
  </si>
  <si>
    <t>Облигации(RGBITR)</t>
  </si>
  <si>
    <t>Вклады</t>
  </si>
  <si>
    <t>Инфляция (ИЦП)</t>
  </si>
  <si>
    <t>Кумулятивная инфляция</t>
  </si>
  <si>
    <t>Взнос с индексацией</t>
  </si>
  <si>
    <t>ИСХОДНЫЕ ДАННЫЕ</t>
  </si>
  <si>
    <t>https://www.moex.com/ru/index/totalreturn/MCFTR/archive</t>
  </si>
  <si>
    <t>Сырые Данные</t>
  </si>
  <si>
    <t>Тут хранятся исходные значения индексов Мосбиржи и расчёт годовой доходности.</t>
  </si>
  <si>
    <t>MCFTR значение</t>
  </si>
  <si>
    <t xml:space="preserve">RGBITR значение	</t>
  </si>
  <si>
    <t>Доходность акций</t>
  </si>
  <si>
    <t>Доходность облигаций</t>
  </si>
  <si>
    <t>нет исходной базы для расчёта</t>
  </si>
  <si>
    <t>брал данные по акциям с 2004 по 2024 год</t>
  </si>
  <si>
    <t>Нет исходной базы для расчета</t>
  </si>
  <si>
    <t>https://cbr.ru/hd_base/KeyRate/</t>
  </si>
  <si>
    <t>https://www.moex.com/ru/index/RGBITR/archive?from=2002-12-31&amp;till=2024-08-31&amp;sort=TRADEDATE&amp;order=desc</t>
  </si>
  <si>
    <t>брал данные по облигациям с 2004 по 2024 год</t>
  </si>
  <si>
    <t>https://rosstat.gov.ru/statistics/price</t>
  </si>
  <si>
    <t>инфляция</t>
  </si>
  <si>
    <t>вклады</t>
  </si>
  <si>
    <t>индексировать на инфляцию?</t>
  </si>
  <si>
    <t>DCA</t>
  </si>
  <si>
    <t>Каждый период покупаем активы на фиксированную сумму. Чтобы в дальнейшем посчитать итоговую стоимость портфеля</t>
  </si>
  <si>
    <t>Взнос</t>
  </si>
  <si>
    <t>Номинальная доходность</t>
  </si>
  <si>
    <t>А-акции</t>
  </si>
  <si>
    <t>О-облигации</t>
  </si>
  <si>
    <t>А50%/О50%</t>
  </si>
  <si>
    <t>А10%/О90%</t>
  </si>
  <si>
    <t>А20%/О80%</t>
  </si>
  <si>
    <t>А30%/О70</t>
  </si>
  <si>
    <t>А40%/О60%</t>
  </si>
  <si>
    <t>А60%/О40%</t>
  </si>
  <si>
    <t>А70%/О30%</t>
  </si>
  <si>
    <t>А80%/О20%</t>
  </si>
  <si>
    <t>А90%/О10%</t>
  </si>
  <si>
    <t>Стратегия</t>
  </si>
  <si>
    <t>Вес акций</t>
  </si>
  <si>
    <t>Вес облигаций</t>
  </si>
  <si>
    <t>Доля Акций</t>
  </si>
  <si>
    <t>Доля Облигаций</t>
  </si>
  <si>
    <t>Доходность стратегии за год</t>
  </si>
  <si>
    <t>Портфель на НАЧАЛО года</t>
  </si>
  <si>
    <t>Доход</t>
  </si>
  <si>
    <t>Итог</t>
  </si>
  <si>
    <t>Среднегодовой рост</t>
  </si>
  <si>
    <t>Калькулятор</t>
  </si>
  <si>
    <t>Поможет вам оценить потенциальную доходность ваших вложений</t>
  </si>
  <si>
    <t>Ежемесячное пополнение</t>
  </si>
  <si>
    <t>Годовая процентная ставка</t>
  </si>
  <si>
    <t>Срок инвестирования (лет)</t>
  </si>
  <si>
    <t>Стартовый капитал</t>
  </si>
  <si>
    <t>Реинвестировать доход?</t>
  </si>
  <si>
    <t>Да</t>
  </si>
  <si>
    <t>Учитывать инфляцию?</t>
  </si>
  <si>
    <t>Ожидаемая инфляция (годовая)</t>
  </si>
  <si>
    <t>РЕЗУЛЬТАТЫ</t>
  </si>
  <si>
    <t>Итоговая сумма (номинал)</t>
  </si>
  <si>
    <t>Прирост (%)</t>
  </si>
  <si>
    <t>Реальная итоговая сумма</t>
  </si>
  <si>
    <t>Всего вложено</t>
  </si>
  <si>
    <t>Портфель(номинал)</t>
  </si>
  <si>
    <t>Портфель (реал.)</t>
  </si>
  <si>
    <t>Расчёт всех стратегий</t>
  </si>
  <si>
    <t>Тут находятся все стратегии уже с расчётом доходности. Этот лист нужен для таблиц и дашбордов</t>
  </si>
  <si>
    <t>Вложено всего, ₽</t>
  </si>
  <si>
    <t>Итоговый портфель, ₽</t>
  </si>
  <si>
    <t>Прибыль, ₽</t>
  </si>
  <si>
    <t>Номинальная доходность, %</t>
  </si>
  <si>
    <t>Реальная доходность, %</t>
  </si>
  <si>
    <t>Среднегодовой рост, %</t>
  </si>
  <si>
    <t>Тренды (2004-2024)</t>
  </si>
  <si>
    <t>А30%/О70%</t>
  </si>
  <si>
    <t>Макс. Капитал</t>
  </si>
  <si>
    <t>Лучшая стратегия</t>
  </si>
  <si>
    <t>Худшая стратегия</t>
  </si>
  <si>
    <t xml:space="preserve">	Всего вложено</t>
  </si>
  <si>
    <t>Лучший Среднегодовой рост</t>
  </si>
  <si>
    <t>Максимальный капитал</t>
  </si>
  <si>
    <t>Разовый взнос</t>
  </si>
  <si>
    <t>Итоговый взнос</t>
  </si>
  <si>
    <t>Разовые пополнения</t>
  </si>
  <si>
    <t>Накопленная инфляция</t>
  </si>
  <si>
    <t>Таблица для Дашбордов</t>
  </si>
  <si>
    <t>Итоговый портфель</t>
  </si>
  <si>
    <t>Прибыль</t>
  </si>
  <si>
    <t>Реальная доходность</t>
  </si>
  <si>
    <t>Сводный анализ эффективности DCA-стратегий</t>
  </si>
  <si>
    <t>Источник: расчёты стратегий на основе индексов Московской биржи, данных Банка России и Росстата.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</si>
</sst>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#,##0\ &quot;₽&quot;"/>
    <numFmt numFmtId="165" formatCode="0.0%"/>
    <numFmt numFmtId="166" formatCode="#,##0.00\ &quot;₽&quot;"/>
    <numFmt numFmtId="167" formatCode="_-* #,##0\ &quot;₽&quot;_-;\-* #,##0\ &quot;₽&quot;_-;_-* &quot;-&quot;??\ &quot;₽&quot;_-;_-@_-"/>
    <numFmt numFmtId="168" formatCode="0&quot; лет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4F0EB"/>
      <name val="Arial"/>
      <family val="2"/>
      <charset val="204"/>
    </font>
    <font>
      <b/>
      <sz val="16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2"/>
      <color rgb="FFF4F0EB"/>
      <name val="Arial"/>
      <family val="2"/>
      <charset val="204"/>
    </font>
    <font>
      <sz val="8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10">
    <xf numFmtId="0" fontId="0" fillId="0" borderId="0" xfId="0"/>
    <xf numFmtId="1" fontId="0" fillId="3" borderId="0" xfId="0" applyNumberFormat="1" applyFill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NumberFormat="1"/>
    <xf numFmtId="0" fontId="3" fillId="0" borderId="0" xfId="0" applyFont="1" applyAlignment="1"/>
    <xf numFmtId="10" fontId="0" fillId="0" borderId="0" xfId="0" applyNumberFormat="1" applyAlignment="1">
      <alignment wrapText="1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4" fillId="0" borderId="0" xfId="1"/>
    <xf numFmtId="0" fontId="0" fillId="0" borderId="0" xfId="0" applyAlignment="1"/>
    <xf numFmtId="0" fontId="0" fillId="0" borderId="0" xfId="0" applyAlignment="1">
      <alignment wrapText="1"/>
    </xf>
    <xf numFmtId="10" fontId="0" fillId="0" borderId="0" xfId="2" applyNumberFormat="1" applyFont="1"/>
    <xf numFmtId="166" fontId="0" fillId="0" borderId="0" xfId="0" applyNumberFormat="1"/>
    <xf numFmtId="0" fontId="6" fillId="0" borderId="0" xfId="0" applyFont="1" applyAlignment="1">
      <alignment wrapText="1"/>
    </xf>
    <xf numFmtId="167" fontId="0" fillId="0" borderId="0" xfId="3" applyNumberFormat="1" applyFont="1"/>
    <xf numFmtId="0" fontId="0" fillId="7" borderId="2" xfId="0" applyFont="1" applyFill="1" applyBorder="1"/>
    <xf numFmtId="10" fontId="0" fillId="7" borderId="2" xfId="2" applyNumberFormat="1" applyFont="1" applyFill="1" applyBorder="1"/>
    <xf numFmtId="166" fontId="0" fillId="7" borderId="2" xfId="0" applyNumberFormat="1" applyFont="1" applyFill="1" applyBorder="1"/>
    <xf numFmtId="10" fontId="0" fillId="7" borderId="2" xfId="0" applyNumberFormat="1" applyFont="1" applyFill="1" applyBorder="1"/>
    <xf numFmtId="166" fontId="0" fillId="0" borderId="2" xfId="0" applyNumberFormat="1" applyFont="1" applyBorder="1"/>
    <xf numFmtId="0" fontId="0" fillId="0" borderId="0" xfId="0" applyFill="1"/>
    <xf numFmtId="1" fontId="0" fillId="7" borderId="1" xfId="0" applyNumberFormat="1" applyFont="1" applyFill="1" applyBorder="1"/>
    <xf numFmtId="44" fontId="0" fillId="0" borderId="0" xfId="3" applyFont="1"/>
    <xf numFmtId="1" fontId="0" fillId="7" borderId="2" xfId="0" applyNumberFormat="1" applyFont="1" applyFill="1" applyBorder="1"/>
    <xf numFmtId="0" fontId="8" fillId="6" borderId="3" xfId="0" applyFont="1" applyFill="1" applyBorder="1"/>
    <xf numFmtId="0" fontId="8" fillId="6" borderId="5" xfId="0" applyFont="1" applyFill="1" applyBorder="1"/>
    <xf numFmtId="0" fontId="8" fillId="6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1" fontId="0" fillId="7" borderId="4" xfId="0" applyNumberFormat="1" applyFont="1" applyFill="1" applyBorder="1"/>
    <xf numFmtId="1" fontId="0" fillId="7" borderId="6" xfId="0" applyNumberFormat="1" applyFont="1" applyFill="1" applyBorder="1"/>
    <xf numFmtId="0" fontId="0" fillId="7" borderId="4" xfId="0" applyFont="1" applyFill="1" applyBorder="1"/>
    <xf numFmtId="10" fontId="0" fillId="7" borderId="4" xfId="2" applyNumberFormat="1" applyFont="1" applyFill="1" applyBorder="1"/>
    <xf numFmtId="166" fontId="0" fillId="7" borderId="4" xfId="0" applyNumberFormat="1" applyFont="1" applyFill="1" applyBorder="1"/>
    <xf numFmtId="166" fontId="0" fillId="0" borderId="4" xfId="0" applyNumberFormat="1" applyFont="1" applyBorder="1"/>
    <xf numFmtId="9" fontId="0" fillId="0" borderId="0" xfId="2" applyFont="1"/>
    <xf numFmtId="44" fontId="0" fillId="7" borderId="2" xfId="3" applyFont="1" applyFill="1" applyBorder="1"/>
    <xf numFmtId="44" fontId="0" fillId="0" borderId="2" xfId="3" applyFont="1" applyBorder="1"/>
    <xf numFmtId="44" fontId="0" fillId="0" borderId="4" xfId="3" applyFont="1" applyBorder="1"/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44" fontId="14" fillId="0" borderId="0" xfId="3" applyFont="1"/>
    <xf numFmtId="167" fontId="14" fillId="0" borderId="0" xfId="3" applyNumberFormat="1" applyFont="1"/>
    <xf numFmtId="2" fontId="0" fillId="0" borderId="0" xfId="2" applyNumberFormat="1" applyFont="1"/>
    <xf numFmtId="0" fontId="17" fillId="10" borderId="0" xfId="0" applyFont="1" applyFill="1" applyBorder="1" applyAlignment="1">
      <alignment vertical="top"/>
    </xf>
    <xf numFmtId="44" fontId="17" fillId="10" borderId="0" xfId="0" applyNumberFormat="1" applyFont="1" applyFill="1" applyBorder="1" applyAlignment="1">
      <alignment vertical="top"/>
    </xf>
    <xf numFmtId="0" fontId="8" fillId="6" borderId="2" xfId="0" applyFont="1" applyFill="1" applyBorder="1" applyAlignment="1">
      <alignment wrapText="1"/>
    </xf>
    <xf numFmtId="167" fontId="0" fillId="7" borderId="1" xfId="3" applyNumberFormat="1" applyFont="1" applyFill="1" applyBorder="1"/>
    <xf numFmtId="0" fontId="15" fillId="0" borderId="0" xfId="0" applyFont="1"/>
    <xf numFmtId="167" fontId="15" fillId="0" borderId="0" xfId="0" applyNumberFormat="1" applyFont="1"/>
    <xf numFmtId="10" fontId="15" fillId="0" borderId="0" xfId="0" applyNumberFormat="1" applyFont="1"/>
    <xf numFmtId="1" fontId="19" fillId="3" borderId="0" xfId="0" applyNumberFormat="1" applyFont="1" applyFill="1"/>
    <xf numFmtId="1" fontId="20" fillId="3" borderId="0" xfId="0" applyNumberFormat="1" applyFont="1" applyFill="1"/>
    <xf numFmtId="1" fontId="14" fillId="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1" fillId="0" borderId="0" xfId="0" applyNumberFormat="1" applyFont="1"/>
    <xf numFmtId="0" fontId="0" fillId="0" borderId="15" xfId="0" applyBorder="1"/>
    <xf numFmtId="164" fontId="0" fillId="0" borderId="15" xfId="0" applyNumberFormat="1" applyBorder="1"/>
    <xf numFmtId="9" fontId="0" fillId="0" borderId="15" xfId="2" applyNumberFormat="1" applyFont="1" applyBorder="1"/>
    <xf numFmtId="168" fontId="0" fillId="0" borderId="15" xfId="0" applyNumberFormat="1" applyBorder="1"/>
    <xf numFmtId="1" fontId="0" fillId="0" borderId="15" xfId="0" applyNumberFormat="1" applyBorder="1"/>
    <xf numFmtId="9" fontId="0" fillId="0" borderId="15" xfId="0" applyNumberFormat="1" applyBorder="1"/>
    <xf numFmtId="10" fontId="0" fillId="0" borderId="15" xfId="0" applyNumberFormat="1" applyBorder="1"/>
    <xf numFmtId="167" fontId="0" fillId="0" borderId="15" xfId="3" applyNumberFormat="1" applyFont="1" applyBorder="1"/>
    <xf numFmtId="0" fontId="14" fillId="0" borderId="0" xfId="0" applyFont="1" applyBorder="1"/>
    <xf numFmtId="44" fontId="14" fillId="0" borderId="0" xfId="3" applyFont="1" applyBorder="1"/>
    <xf numFmtId="167" fontId="14" fillId="0" borderId="0" xfId="3" applyNumberFormat="1" applyFont="1" applyBorder="1"/>
    <xf numFmtId="0" fontId="22" fillId="2" borderId="0" xfId="0" applyFont="1" applyFill="1" applyBorder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8" fillId="2" borderId="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8" borderId="0" xfId="0" applyFont="1" applyFill="1" applyAlignment="1">
      <alignment horizontal="left" wrapText="1"/>
    </xf>
    <xf numFmtId="167" fontId="17" fillId="10" borderId="7" xfId="0" applyNumberFormat="1" applyFont="1" applyFill="1" applyBorder="1" applyAlignment="1">
      <alignment horizontal="center" vertical="top"/>
    </xf>
    <xf numFmtId="167" fontId="17" fillId="10" borderId="0" xfId="0" applyNumberFormat="1" applyFont="1" applyFill="1" applyBorder="1" applyAlignment="1">
      <alignment horizontal="center" vertical="top"/>
    </xf>
    <xf numFmtId="167" fontId="17" fillId="10" borderId="12" xfId="0" applyNumberFormat="1" applyFont="1" applyFill="1" applyBorder="1" applyAlignment="1">
      <alignment horizontal="center" vertical="top"/>
    </xf>
    <xf numFmtId="167" fontId="17" fillId="10" borderId="13" xfId="0" applyNumberFormat="1" applyFont="1" applyFill="1" applyBorder="1" applyAlignment="1">
      <alignment horizontal="center" vertical="top"/>
    </xf>
    <xf numFmtId="167" fontId="17" fillId="10" borderId="8" xfId="0" applyNumberFormat="1" applyFont="1" applyFill="1" applyBorder="1" applyAlignment="1">
      <alignment horizontal="center" vertical="top"/>
    </xf>
    <xf numFmtId="167" fontId="17" fillId="10" borderId="14" xfId="0" applyNumberFormat="1" applyFont="1" applyFill="1" applyBorder="1" applyAlignment="1">
      <alignment horizontal="center" vertical="top"/>
    </xf>
    <xf numFmtId="0" fontId="17" fillId="10" borderId="9" xfId="0" applyFont="1" applyFill="1" applyBorder="1" applyAlignment="1">
      <alignment horizontal="center" vertical="top" wrapText="1"/>
    </xf>
    <xf numFmtId="0" fontId="17" fillId="10" borderId="10" xfId="0" applyFont="1" applyFill="1" applyBorder="1" applyAlignment="1">
      <alignment horizontal="center" vertical="top" wrapText="1"/>
    </xf>
    <xf numFmtId="0" fontId="17" fillId="10" borderId="11" xfId="0" applyFont="1" applyFill="1" applyBorder="1" applyAlignment="1">
      <alignment horizontal="center" vertical="top" wrapText="1"/>
    </xf>
    <xf numFmtId="0" fontId="17" fillId="10" borderId="7" xfId="0" applyFont="1" applyFill="1" applyBorder="1" applyAlignment="1">
      <alignment horizontal="center" vertical="top" wrapText="1"/>
    </xf>
    <xf numFmtId="0" fontId="17" fillId="10" borderId="0" xfId="0" applyFont="1" applyFill="1" applyBorder="1" applyAlignment="1">
      <alignment horizontal="center" vertical="top" wrapText="1"/>
    </xf>
    <xf numFmtId="0" fontId="17" fillId="10" borderId="12" xfId="0" applyFont="1" applyFill="1" applyBorder="1" applyAlignment="1">
      <alignment horizontal="center" vertical="top" wrapText="1"/>
    </xf>
    <xf numFmtId="10" fontId="17" fillId="10" borderId="7" xfId="0" applyNumberFormat="1" applyFont="1" applyFill="1" applyBorder="1" applyAlignment="1">
      <alignment horizontal="center" vertical="top"/>
    </xf>
    <xf numFmtId="10" fontId="17" fillId="10" borderId="0" xfId="0" applyNumberFormat="1" applyFont="1" applyFill="1" applyBorder="1" applyAlignment="1">
      <alignment horizontal="center" vertical="top"/>
    </xf>
    <xf numFmtId="10" fontId="17" fillId="10" borderId="12" xfId="0" applyNumberFormat="1" applyFont="1" applyFill="1" applyBorder="1" applyAlignment="1">
      <alignment horizontal="center" vertical="top"/>
    </xf>
    <xf numFmtId="10" fontId="17" fillId="10" borderId="13" xfId="0" applyNumberFormat="1" applyFont="1" applyFill="1" applyBorder="1" applyAlignment="1">
      <alignment horizontal="center" vertical="top"/>
    </xf>
    <xf numFmtId="10" fontId="17" fillId="10" borderId="8" xfId="0" applyNumberFormat="1" applyFont="1" applyFill="1" applyBorder="1" applyAlignment="1">
      <alignment horizontal="center" vertical="top"/>
    </xf>
    <xf numFmtId="10" fontId="17" fillId="10" borderId="14" xfId="0" applyNumberFormat="1" applyFont="1" applyFill="1" applyBorder="1" applyAlignment="1">
      <alignment horizontal="center" vertical="top"/>
    </xf>
    <xf numFmtId="0" fontId="16" fillId="9" borderId="0" xfId="0" applyFont="1" applyFill="1" applyAlignment="1">
      <alignment horizontal="center"/>
    </xf>
    <xf numFmtId="0" fontId="17" fillId="10" borderId="9" xfId="0" applyFont="1" applyFill="1" applyBorder="1" applyAlignment="1">
      <alignment horizontal="center" vertical="top"/>
    </xf>
    <xf numFmtId="0" fontId="17" fillId="10" borderId="10" xfId="0" applyFont="1" applyFill="1" applyBorder="1" applyAlignment="1">
      <alignment horizontal="center" vertical="top"/>
    </xf>
    <xf numFmtId="0" fontId="17" fillId="10" borderId="11" xfId="0" applyFont="1" applyFill="1" applyBorder="1" applyAlignment="1">
      <alignment horizontal="center" vertical="top"/>
    </xf>
    <xf numFmtId="0" fontId="17" fillId="10" borderId="7" xfId="0" applyFont="1" applyFill="1" applyBorder="1" applyAlignment="1">
      <alignment horizontal="center" vertical="top"/>
    </xf>
    <xf numFmtId="0" fontId="17" fillId="10" borderId="0" xfId="0" applyFont="1" applyFill="1" applyBorder="1" applyAlignment="1">
      <alignment horizontal="center" vertical="top"/>
    </xf>
    <xf numFmtId="0" fontId="17" fillId="10" borderId="12" xfId="0" applyFont="1" applyFill="1" applyBorder="1" applyAlignment="1">
      <alignment horizontal="center" vertical="top"/>
    </xf>
    <xf numFmtId="0" fontId="7" fillId="5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Гиперссылка" xfId="1" builtinId="8"/>
    <cellStyle name="Денежный" xfId="3" builtinId="4"/>
    <cellStyle name="Обычный" xfId="0" builtinId="0"/>
    <cellStyle name="Процентный" xfId="2" builtinId="5"/>
  </cellStyles>
  <dxfs count="280">
    <dxf>
      <numFmt numFmtId="167" formatCode="_-* #,##0\ &quot;₽&quot;_-;\-* #,##0\ &quot;₽&quot;_-;_-* &quot;-&quot;??\ &quot;₽&quot;_-;_-@_-"/>
    </dxf>
    <dxf>
      <numFmt numFmtId="167" formatCode="_-* #,##0\ &quot;₽&quot;_-;\-* #,##0\ &quot;₽&quot;_-;_-* &quot;-&quot;??\ &quot;₽&quot;_-;_-@_-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₽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₽&quot;_-;\-* #,##0.00\ &quot;₽&quot;_-;_-* &quot;-&quot;??\ &quot;₽&quot;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#,##0\ &quot;₽&quot;"/>
    </dxf>
    <dxf>
      <numFmt numFmtId="166" formatCode="#,##0.00\ &quot;₽&quot;"/>
    </dxf>
    <dxf>
      <numFmt numFmtId="164" formatCode="#,##0\ &quot;₽&quot;"/>
    </dxf>
    <dxf>
      <numFmt numFmtId="164" formatCode="#,##0\ &quot;₽&quot;"/>
    </dxf>
    <dxf>
      <numFmt numFmtId="167" formatCode="_-* #,##0\ &quot;₽&quot;_-;\-* #,##0\ &quot;₽&quot;_-;_-* &quot;-&quot;??\ &quot;₽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167" formatCode="_-* #,##0\ &quot;₽&quot;_-;\-* #,##0\ &quot;₽&quot;_-;_-* &quot;-&quot;??\ &quot;₽&quot;_-;_-@_-"/>
    </dxf>
    <dxf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#,##0\ &quot;₽&quot;"/>
    </dxf>
    <dxf>
      <numFmt numFmtId="2" formatCode="0.00"/>
    </dxf>
    <dxf>
      <numFmt numFmtId="164" formatCode="#,##0\ &quot;₽&quot;"/>
    </dxf>
    <dxf>
      <numFmt numFmtId="2" formatCode="0.00"/>
    </dxf>
    <dxf>
      <numFmt numFmtId="14" formatCode="0.00%"/>
    </dxf>
    <dxf>
      <numFmt numFmtId="165" formatCode="0.0%"/>
    </dxf>
    <dxf>
      <numFmt numFmtId="14" formatCode="0.00%"/>
    </dxf>
    <dxf>
      <numFmt numFmtId="14" formatCode="0.00%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00"/>
      <color rgb="FF1F386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'Расчёт всех стратегий'!$R$2</c:f>
              <c:strCache>
                <c:ptCount val="1"/>
                <c:pt idx="0">
                  <c:v>Акции 100%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'Расчёт всех стратегий'!$Q$3:$Q$23</c:f>
              <c:numCache>
                <c:formatCode>0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'Расчёт всех стратегий'!$R$3:$R$23</c:f>
              <c:numCache>
                <c:formatCode>_-* #\ ##0\ "₽"_-;\-* #\ ##0\ "₽"_-;_-* "-"??\ "₽"_-;_-@_-</c:formatCode>
                <c:ptCount val="21"/>
                <c:pt idx="0">
                  <c:v>123380.73866837636</c:v>
                </c:pt>
                <c:pt idx="1">
                  <c:v>465663.29691777204</c:v>
                </c:pt>
                <c:pt idx="2">
                  <c:v>1032704.8463938332</c:v>
                </c:pt>
                <c:pt idx="3">
                  <c:v>1338354.2583070889</c:v>
                </c:pt>
                <c:pt idx="4">
                  <c:v>504927.25327090442</c:v>
                </c:pt>
                <c:pt idx="5">
                  <c:v>1586815.8889797339</c:v>
                </c:pt>
                <c:pt idx="6">
                  <c:v>2256384.8289325223</c:v>
                </c:pt>
                <c:pt idx="7">
                  <c:v>2129533.0549747869</c:v>
                </c:pt>
                <c:pt idx="8">
                  <c:v>2585163.067133503</c:v>
                </c:pt>
                <c:pt idx="9">
                  <c:v>3028530.2136764405</c:v>
                </c:pt>
                <c:pt idx="10">
                  <c:v>3247973.2378218505</c:v>
                </c:pt>
                <c:pt idx="11">
                  <c:v>4709403.0091613363</c:v>
                </c:pt>
                <c:pt idx="12">
                  <c:v>6721413.8651684439</c:v>
                </c:pt>
                <c:pt idx="13">
                  <c:v>7079844.5749415513</c:v>
                </c:pt>
                <c:pt idx="14">
                  <c:v>8884765.1698297523</c:v>
                </c:pt>
                <c:pt idx="15">
                  <c:v>12851033.470899522</c:v>
                </c:pt>
                <c:pt idx="16">
                  <c:v>15226236.635162897</c:v>
                </c:pt>
                <c:pt idx="17">
                  <c:v>19067515.838644829</c:v>
                </c:pt>
                <c:pt idx="18">
                  <c:v>12255409.589596387</c:v>
                </c:pt>
                <c:pt idx="19">
                  <c:v>19654735.437809303</c:v>
                </c:pt>
                <c:pt idx="20">
                  <c:v>20545366.483889993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E-44CA-BCB6-68666D4C7F28}"/>
            </c:ext>
          </c:extLst>
        </c:ser>
        <c:ser>
          <c:idx val="1"/>
          <c:order val="1"/>
          <c:tx>
            <c:strRef>
              <c:f>'Расчёт всех стратегий'!$S$2</c:f>
              <c:strCache>
                <c:ptCount val="1"/>
                <c:pt idx="0">
                  <c:v>Облигации 100%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'Расчёт всех стратегий'!$Q$3:$Q$23</c:f>
              <c:numCache>
                <c:formatCode>0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'Расчёт всех стратегий'!$S$3:$S$23</c:f>
              <c:numCache>
                <c:formatCode>_-* #\ ##0\ "₽"_-;\-* #\ ##0\ "₽"_-;_-* "-"??\ "₽"_-;_-@_-</c:formatCode>
                <c:ptCount val="21"/>
                <c:pt idx="0">
                  <c:v>127523.68276833947</c:v>
                </c:pt>
                <c:pt idx="1">
                  <c:v>285831.56655010959</c:v>
                </c:pt>
                <c:pt idx="2">
                  <c:v>457770.24482774956</c:v>
                </c:pt>
                <c:pt idx="3">
                  <c:v>658505.44092718523</c:v>
                </c:pt>
                <c:pt idx="4">
                  <c:v>786069.28102255042</c:v>
                </c:pt>
                <c:pt idx="5">
                  <c:v>1330190.8354487503</c:v>
                </c:pt>
                <c:pt idx="6">
                  <c:v>1716541.0463957686</c:v>
                </c:pt>
                <c:pt idx="7">
                  <c:v>2062498.9384470829</c:v>
                </c:pt>
                <c:pt idx="8">
                  <c:v>2647976.026061398</c:v>
                </c:pt>
                <c:pt idx="9">
                  <c:v>3022144.5863524149</c:v>
                </c:pt>
                <c:pt idx="10">
                  <c:v>2828515.5196644547</c:v>
                </c:pt>
                <c:pt idx="11">
                  <c:v>4069136.6145255361</c:v>
                </c:pt>
                <c:pt idx="12">
                  <c:v>5079674.3073841818</c:v>
                </c:pt>
                <c:pt idx="13">
                  <c:v>6145721.6303175371</c:v>
                </c:pt>
                <c:pt idx="14">
                  <c:v>6665223.7259164602</c:v>
                </c:pt>
                <c:pt idx="15">
                  <c:v>8474415.2123942077</c:v>
                </c:pt>
                <c:pt idx="16">
                  <c:v>9642509.1537528113</c:v>
                </c:pt>
                <c:pt idx="17">
                  <c:v>9564204.9460127186</c:v>
                </c:pt>
                <c:pt idx="18">
                  <c:v>10413592.063491493</c:v>
                </c:pt>
                <c:pt idx="19">
                  <c:v>11017801.948352957</c:v>
                </c:pt>
                <c:pt idx="20">
                  <c:v>10575459.337805733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E-44CA-BCB6-68666D4C7F28}"/>
            </c:ext>
          </c:extLst>
        </c:ser>
        <c:ser>
          <c:idx val="2"/>
          <c:order val="2"/>
          <c:tx>
            <c:strRef>
              <c:f>'Расчёт всех стратегий'!$T$2</c:f>
              <c:strCache>
                <c:ptCount val="1"/>
                <c:pt idx="0">
                  <c:v>А50%/О50%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'Расчёт всех стратегий'!$Q$3:$Q$23</c:f>
              <c:numCache>
                <c:formatCode>0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'Расчёт всех стратегий'!$T$3:$T$23</c:f>
              <c:numCache>
                <c:formatCode>_-* #\ ##0\ "₽"_-;\-* #\ ##0\ "₽"_-;_-* "-"??\ "₽"_-;_-@_-</c:formatCode>
                <c:ptCount val="21"/>
                <c:pt idx="0">
                  <c:v>125452.21071835791</c:v>
                </c:pt>
                <c:pt idx="1">
                  <c:v>376505.91770066979</c:v>
                </c:pt>
                <c:pt idx="2">
                  <c:v>717993.11070114223</c:v>
                </c:pt>
                <c:pt idx="3">
                  <c:v>960910.0029245991</c:v>
                </c:pt>
                <c:pt idx="4">
                  <c:v>725285.97459045448</c:v>
                </c:pt>
                <c:pt idx="5">
                  <c:v>1666499.9999179961</c:v>
                </c:pt>
                <c:pt idx="6">
                  <c:v>2223278.5690797358</c:v>
                </c:pt>
                <c:pt idx="7">
                  <c:v>2349905.358402147</c:v>
                </c:pt>
                <c:pt idx="8">
                  <c:v>2901167.4071109351</c:v>
                </c:pt>
                <c:pt idx="9">
                  <c:v>3324726.296032384</c:v>
                </c:pt>
                <c:pt idx="10">
                  <c:v>3313183.8004455729</c:v>
                </c:pt>
                <c:pt idx="11">
                  <c:v>4746355.581465628</c:v>
                </c:pt>
                <c:pt idx="12">
                  <c:v>6314065.6379946265</c:v>
                </c:pt>
                <c:pt idx="13">
                  <c:v>7105305.9453476574</c:v>
                </c:pt>
                <c:pt idx="14">
                  <c:v>8280129.2959678946</c:v>
                </c:pt>
                <c:pt idx="15">
                  <c:v>11213041.752879258</c:v>
                </c:pt>
                <c:pt idx="16">
                  <c:v>12980221.902293434</c:v>
                </c:pt>
                <c:pt idx="17">
                  <c:v>14532840.213483857</c:v>
                </c:pt>
                <c:pt idx="18">
                  <c:v>12491330.626248</c:v>
                </c:pt>
                <c:pt idx="19">
                  <c:v>16564499.591755429</c:v>
                </c:pt>
                <c:pt idx="20">
                  <c:v>16523305.25040454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E-44CA-BCB6-68666D4C7F28}"/>
            </c:ext>
          </c:extLst>
        </c:ser>
        <c:ser>
          <c:idx val="3"/>
          <c:order val="3"/>
          <c:tx>
            <c:strRef>
              <c:f>'Расчёт всех стратегий'!$U$2</c:f>
              <c:strCache>
                <c:ptCount val="1"/>
                <c:pt idx="0">
                  <c:v>Вложено всего, ₽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'Расчёт всех стратегий'!$Q$3:$Q$23</c:f>
              <c:numCache>
                <c:formatCode>0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'Расчёт всех стратегий'!$U$3:$U$23</c:f>
              <c:numCache>
                <c:formatCode>_-* #\ ##0\ "₽"_-;\-* #\ ##0\ "₽"_-;_-* "-"??\ "₽"_-;_-@_-</c:formatCode>
                <c:ptCount val="21"/>
                <c:pt idx="0">
                  <c:v>115000</c:v>
                </c:pt>
                <c:pt idx="1">
                  <c:v>243501</c:v>
                </c:pt>
                <c:pt idx="2">
                  <c:v>386021.45909999998</c:v>
                </c:pt>
                <c:pt idx="3">
                  <c:v>541368.75951899996</c:v>
                </c:pt>
                <c:pt idx="4">
                  <c:v>715155.78449773532</c:v>
                </c:pt>
                <c:pt idx="5">
                  <c:v>912021.72639364668</c:v>
                </c:pt>
                <c:pt idx="6">
                  <c:v>1126211.8711763984</c:v>
                </c:pt>
                <c:pt idx="7">
                  <c:v>1359207.9106710756</c:v>
                </c:pt>
                <c:pt idx="8">
                  <c:v>1606416.7085749281</c:v>
                </c:pt>
                <c:pt idx="9">
                  <c:v>1869891.8453808541</c:v>
                </c:pt>
                <c:pt idx="10">
                  <c:v>2150361.1285107625</c:v>
                </c:pt>
                <c:pt idx="11">
                  <c:v>2462691.7222042284</c:v>
                </c:pt>
                <c:pt idx="12">
                  <c:v>2815344.1955435206</c:v>
                </c:pt>
                <c:pt idx="13">
                  <c:v>3186969.3719484666</c:v>
                </c:pt>
                <c:pt idx="14">
                  <c:v>3567959.5027988171</c:v>
                </c:pt>
                <c:pt idx="15">
                  <c:v>3965217.9122364777</c:v>
                </c:pt>
                <c:pt idx="16">
                  <c:v>4374592.7031619865</c:v>
                </c:pt>
                <c:pt idx="17">
                  <c:v>4804067.7963219387</c:v>
                </c:pt>
                <c:pt idx="18">
                  <c:v>5269575.8497980107</c:v>
                </c:pt>
                <c:pt idx="19">
                  <c:v>5790665.5648591258</c:v>
                </c:pt>
                <c:pt idx="20">
                  <c:v>6350420.1367777754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1E-44CA-BCB6-68666D4C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415088"/>
        <c:axId val="1614413424"/>
      </c:lineChart>
      <c:catAx>
        <c:axId val="16144150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413424"/>
        <c:crosses val="autoZero"/>
        <c:auto val="1"/>
        <c:lblAlgn val="ctr"/>
        <c:lblOffset val="100"/>
        <c:noMultiLvlLbl val="0"/>
      </c:catAx>
      <c:valAx>
        <c:axId val="1614413424"/>
        <c:scaling>
          <c:orientation val="minMax"/>
          <c:max val="240000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415088"/>
        <c:crosses val="autoZero"/>
        <c:crossBetween val="between"/>
      </c:valAx>
      <c:spPr>
        <a:noFill/>
        <a:ln>
          <a:solidFill>
            <a:schemeClr val="bg2">
              <a:lumMod val="50000"/>
              <a:alpha val="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Итоги!$A$7:$A$18</c:f>
              <c:strCache>
                <c:ptCount val="12"/>
                <c:pt idx="0">
                  <c:v>Акции 100%</c:v>
                </c:pt>
                <c:pt idx="1">
                  <c:v>Облигации 100%</c:v>
                </c:pt>
                <c:pt idx="2">
                  <c:v>Вклады 100%</c:v>
                </c:pt>
                <c:pt idx="3">
                  <c:v>А50%/О50%</c:v>
                </c:pt>
                <c:pt idx="4">
                  <c:v>А10%/О90%</c:v>
                </c:pt>
                <c:pt idx="5">
                  <c:v>А20%/О80%</c:v>
                </c:pt>
                <c:pt idx="6">
                  <c:v>А30%/О70%</c:v>
                </c:pt>
                <c:pt idx="7">
                  <c:v>А40%/О60%</c:v>
                </c:pt>
                <c:pt idx="8">
                  <c:v>А60%/О40%</c:v>
                </c:pt>
                <c:pt idx="9">
                  <c:v>А70%/О30%</c:v>
                </c:pt>
                <c:pt idx="10">
                  <c:v>А80%/О20%</c:v>
                </c:pt>
                <c:pt idx="11">
                  <c:v>А90%/О10%</c:v>
                </c:pt>
              </c:strCache>
            </c:strRef>
          </c:cat>
          <c:val>
            <c:numRef>
              <c:f>Итоги!$C$7:$C$18</c:f>
              <c:numCache>
                <c:formatCode>_-* #\ ##0\ "₽"_-;\-* #\ ##0\ "₽"_-;_-* "-"??\ "₽"_-;_-@_-</c:formatCode>
                <c:ptCount val="12"/>
                <c:pt idx="0">
                  <c:v>20545366.483889993</c:v>
                </c:pt>
                <c:pt idx="1">
                  <c:v>10575459.337805733</c:v>
                </c:pt>
                <c:pt idx="2">
                  <c:v>13863146.903539604</c:v>
                </c:pt>
                <c:pt idx="3">
                  <c:v>16523305.25040454</c:v>
                </c:pt>
                <c:pt idx="4">
                  <c:v>11727811.170038018</c:v>
                </c:pt>
                <c:pt idx="5">
                  <c:v>12920586.681563182</c:v>
                </c:pt>
                <c:pt idx="6">
                  <c:v>14134529.437026683</c:v>
                </c:pt>
                <c:pt idx="7">
                  <c:v>15345304.798581369</c:v>
                </c:pt>
                <c:pt idx="8">
                  <c:v>17633674.229687437</c:v>
                </c:pt>
                <c:pt idx="9">
                  <c:v>18636611.01465055</c:v>
                </c:pt>
                <c:pt idx="10">
                  <c:v>19488023.668311793</c:v>
                </c:pt>
                <c:pt idx="11">
                  <c:v>20140599.898563955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1-49E6-A175-573081A28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4882992"/>
        <c:axId val="1614884656"/>
        <c:axId val="0"/>
      </c:bar3DChart>
      <c:catAx>
        <c:axId val="1614882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884656"/>
        <c:crosses val="autoZero"/>
        <c:auto val="1"/>
        <c:lblAlgn val="ctr"/>
        <c:lblOffset val="100"/>
        <c:noMultiLvlLbl val="0"/>
      </c:catAx>
      <c:valAx>
        <c:axId val="1614884656"/>
        <c:scaling>
          <c:orientation val="minMax"/>
          <c:min val="0"/>
        </c:scaling>
        <c:delete val="1"/>
        <c:axPos val="b"/>
        <c:numFmt formatCode="_-* #\ ##0\ &quot;₽&quot;_-;\-* #\ ##0\ &quot;₽&quot;_-;_-* &quot;-&quot;??\ &quot;₽&quot;_-;_-@_-" sourceLinked="1"/>
        <c:majorTickMark val="out"/>
        <c:minorTickMark val="none"/>
        <c:tickLblPos val="nextTo"/>
        <c:crossAx val="161488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Динамика роста портфеля</a:t>
            </a:r>
            <a:endParaRPr lang="ru-RU">
              <a:effectLst/>
            </a:endParaRPr>
          </a:p>
        </c:rich>
      </c:tx>
      <c:layout>
        <c:manualLayout>
          <c:xMode val="edge"/>
          <c:yMode val="edge"/>
          <c:x val="0.30276284771334278"/>
          <c:y val="2.8459626098776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Калькулятор!$M$1</c:f>
              <c:strCache>
                <c:ptCount val="1"/>
                <c:pt idx="0">
                  <c:v>Год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Калькулятор!$M$2:$M$41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A-40D1-9AE8-8E94DE543D16}"/>
            </c:ext>
          </c:extLst>
        </c:ser>
        <c:ser>
          <c:idx val="1"/>
          <c:order val="1"/>
          <c:tx>
            <c:strRef>
              <c:f>Калькулятор!$N$1</c:f>
              <c:strCache>
                <c:ptCount val="1"/>
                <c:pt idx="0">
                  <c:v>Стартовый капитал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Калькулятор!$N$2:$N$41</c:f>
              <c:numCache>
                <c:formatCode>_("₽"* #,##0.00_);_("₽"* \(#,##0.00\);_("₽"* "-"??_);_(@_)</c:formatCode>
                <c:ptCount val="4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A-40D1-9AE8-8E94DE543D16}"/>
            </c:ext>
          </c:extLst>
        </c:ser>
        <c:ser>
          <c:idx val="2"/>
          <c:order val="2"/>
          <c:tx>
            <c:strRef>
              <c:f>Калькулятор!$O$1</c:f>
              <c:strCache>
                <c:ptCount val="1"/>
                <c:pt idx="0">
                  <c:v>Портфель(номинал)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Калькулятор!$O$2:$O$41</c:f>
              <c:numCache>
                <c:formatCode>_-* #\ ##0\ "₽"_-;\-* #\ ##0\ "₽"_-;_-* "-"??\ "₽"_-;_-@_-</c:formatCode>
                <c:ptCount val="40"/>
                <c:pt idx="0">
                  <c:v>100000</c:v>
                </c:pt>
                <c:pt idx="1">
                  <c:v>531575.4376510639</c:v>
                </c:pt>
                <c:pt idx="2">
                  <c:v>789230.05374652962</c:v>
                </c:pt>
                <c:pt idx="3">
                  <c:v>1079561.7242919444</c:v>
                </c:pt>
                <c:pt idx="4">
                  <c:v>1406714.7177025459</c:v>
                </c:pt>
                <c:pt idx="5">
                  <c:v>1775358.8993602123</c:v>
                </c:pt>
                <c:pt idx="6">
                  <c:v>2190756.3904645867</c:v>
                </c:pt>
                <c:pt idx="7">
                  <c:v>2658836.6808950179</c:v>
                </c:pt>
                <c:pt idx="8">
                  <c:v>3186281.2682634704</c:v>
                </c:pt>
                <c:pt idx="9">
                  <c:v>3780619.031317872</c:v>
                </c:pt>
                <c:pt idx="10">
                  <c:v>4450333.6990802139</c:v>
                </c:pt>
                <c:pt idx="11">
                  <c:v>5204984.9497613376</c:v>
                </c:pt>
                <c:pt idx="12">
                  <c:v>6055344.868049222</c:v>
                </c:pt>
                <c:pt idx="13">
                  <c:v>7013551.7085969904</c:v>
                </c:pt>
                <c:pt idx="14">
                  <c:v>8093283.1605698876</c:v>
                </c:pt>
                <c:pt idx="15">
                  <c:v>9309951.586473681</c:v>
                </c:pt>
                <c:pt idx="16">
                  <c:v>10680924.022153342</c:v>
                </c:pt>
                <c:pt idx="17">
                  <c:v>12225770.078298178</c:v>
                </c:pt>
                <c:pt idx="18">
                  <c:v>13966541.282062832</c:v>
                </c:pt>
                <c:pt idx="19">
                  <c:v>15928085.846197808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A-40D1-9AE8-8E94DE543D16}"/>
            </c:ext>
          </c:extLst>
        </c:ser>
        <c:ser>
          <c:idx val="3"/>
          <c:order val="3"/>
          <c:tx>
            <c:strRef>
              <c:f>Калькулятор!$P$1</c:f>
              <c:strCache>
                <c:ptCount val="1"/>
                <c:pt idx="0">
                  <c:v>Портфель (реал.)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Калькулятор!$P$2:$P$41</c:f>
              <c:numCache>
                <c:formatCode>_-* #\ ##0\ "₽"_-;\-* #\ ##0\ "₽"_-;_-* "-"??\ "₽"_-;_-@_-</c:formatCode>
                <c:ptCount val="40"/>
                <c:pt idx="0">
                  <c:v>473100.24710845837</c:v>
                </c:pt>
                <c:pt idx="1">
                  <c:v>473100.24710845837</c:v>
                </c:pt>
                <c:pt idx="2">
                  <c:v>662652.77187420602</c:v>
                </c:pt>
                <c:pt idx="3">
                  <c:v>855114.00088596006</c:v>
                </c:pt>
                <c:pt idx="4">
                  <c:v>1051179.0696941954</c:v>
                </c:pt>
                <c:pt idx="5">
                  <c:v>1251557.9691673641</c:v>
                </c:pt>
                <c:pt idx="6">
                  <c:v>1456978.1216920654</c:v>
                </c:pt>
                <c:pt idx="7">
                  <c:v>1668187.0269709744</c:v>
                </c:pt>
                <c:pt idx="8">
                  <c:v>1885954.9870596475</c:v>
                </c:pt>
                <c:pt idx="9">
                  <c:v>2111077.9205937921</c:v>
                </c:pt>
                <c:pt idx="10">
                  <c:v>2344380.2765054028</c:v>
                </c:pt>
                <c:pt idx="11">
                  <c:v>2586718.0579107581</c:v>
                </c:pt>
                <c:pt idx="12">
                  <c:v>2838981.9672770542</c:v>
                </c:pt>
                <c:pt idx="13">
                  <c:v>3102100.6844391515</c:v>
                </c:pt>
                <c:pt idx="14">
                  <c:v>3377044.2895451202</c:v>
                </c:pt>
                <c:pt idx="15">
                  <c:v>3664827.8435612093</c:v>
                </c:pt>
                <c:pt idx="16">
                  <c:v>3966515.1395652429</c:v>
                </c:pt>
                <c:pt idx="17">
                  <c:v>4283222.6387049723</c:v>
                </c:pt>
                <c:pt idx="18">
                  <c:v>4616123.6053966321</c:v>
                </c:pt>
                <c:pt idx="19">
                  <c:v>4966452.457091812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A-40D1-9AE8-8E94DE54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1601471"/>
        <c:axId val="1181602303"/>
      </c:barChart>
      <c:catAx>
        <c:axId val="1181601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1602303"/>
        <c:crosses val="autoZero"/>
        <c:auto val="1"/>
        <c:lblAlgn val="ctr"/>
        <c:lblOffset val="100"/>
        <c:noMultiLvlLbl val="0"/>
      </c:catAx>
      <c:valAx>
        <c:axId val="11816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160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</xdr:row>
      <xdr:rowOff>95250</xdr:rowOff>
    </xdr:from>
    <xdr:to>
      <xdr:col>2</xdr:col>
      <xdr:colOff>1562099</xdr:colOff>
      <xdr:row>4</xdr:row>
      <xdr:rowOff>133350</xdr:rowOff>
    </xdr:to>
    <xdr:sp macro="" textlink="$K$2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8A7398B1-7079-4FE7-8E3F-5890F3BE2546}"/>
            </a:ext>
          </a:extLst>
        </xdr:cNvPr>
        <xdr:cNvSpPr/>
      </xdr:nvSpPr>
      <xdr:spPr>
        <a:xfrm>
          <a:off x="38099" y="285750"/>
          <a:ext cx="4010025" cy="609600"/>
        </a:xfrm>
        <a:prstGeom prst="roundRect">
          <a:avLst/>
        </a:prstGeom>
        <a:solidFill>
          <a:srgbClr val="1F4E7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317FBA8-1510-4532-9D53-35FF354865FE}" type="TxLink">
            <a:rPr lang="ru-RU" sz="16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Акции 100%</a:t>
          </a:fld>
          <a:endParaRPr lang="ru-RU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1581149</xdr:colOff>
      <xdr:row>1</xdr:row>
      <xdr:rowOff>95250</xdr:rowOff>
    </xdr:from>
    <xdr:to>
      <xdr:col>5</xdr:col>
      <xdr:colOff>761999</xdr:colOff>
      <xdr:row>4</xdr:row>
      <xdr:rowOff>133350</xdr:rowOff>
    </xdr:to>
    <xdr:sp macro="" textlink="$K$1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A025D397-FD58-403A-8158-866500D6A112}"/>
            </a:ext>
          </a:extLst>
        </xdr:cNvPr>
        <xdr:cNvSpPr/>
      </xdr:nvSpPr>
      <xdr:spPr>
        <a:xfrm>
          <a:off x="4067174" y="285750"/>
          <a:ext cx="4010025" cy="609600"/>
        </a:xfrm>
        <a:prstGeom prst="roundRect">
          <a:avLst/>
        </a:prstGeom>
        <a:solidFill>
          <a:srgbClr val="1F4E7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1DF1BB0-996B-4ABB-9032-A6AE5A24C993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 20 545 366 ₽ </a:t>
          </a:fld>
          <a:endParaRPr lang="ru-RU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809624</xdr:colOff>
      <xdr:row>1</xdr:row>
      <xdr:rowOff>104775</xdr:rowOff>
    </xdr:from>
    <xdr:to>
      <xdr:col>8</xdr:col>
      <xdr:colOff>126124</xdr:colOff>
      <xdr:row>4</xdr:row>
      <xdr:rowOff>142875</xdr:rowOff>
    </xdr:to>
    <xdr:sp macro="" textlink="$K$3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05724B4C-77A9-4901-AF76-9597C15195CE}"/>
            </a:ext>
          </a:extLst>
        </xdr:cNvPr>
        <xdr:cNvSpPr/>
      </xdr:nvSpPr>
      <xdr:spPr>
        <a:xfrm>
          <a:off x="8124824" y="295275"/>
          <a:ext cx="4098050" cy="609600"/>
        </a:xfrm>
        <a:prstGeom prst="roundRect">
          <a:avLst/>
        </a:prstGeom>
        <a:solidFill>
          <a:srgbClr val="1F4E7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818AAC4-A8AD-4A19-A422-D678818437B5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5,75%</a:t>
          </a:fld>
          <a:endParaRPr lang="ru-RU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9524</xdr:rowOff>
    </xdr:from>
    <xdr:to>
      <xdr:col>25</xdr:col>
      <xdr:colOff>9525</xdr:colOff>
      <xdr:row>21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15C477-6F58-4D8D-8DA3-630DAEA5D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23</xdr:row>
      <xdr:rowOff>95250</xdr:rowOff>
    </xdr:from>
    <xdr:to>
      <xdr:col>19</xdr:col>
      <xdr:colOff>0</xdr:colOff>
      <xdr:row>37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3812A4B-8333-4EB1-9F43-6F127ACB8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1657349</xdr:colOff>
      <xdr:row>19</xdr:row>
      <xdr:rowOff>0</xdr:rowOff>
    </xdr:from>
    <xdr:to>
      <xdr:col>9</xdr:col>
      <xdr:colOff>609599</xdr:colOff>
      <xdr:row>42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D33B8D4-84C6-4ACA-82E0-55392CB84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9525</xdr:rowOff>
    </xdr:from>
    <xdr:to>
      <xdr:col>5</xdr:col>
      <xdr:colOff>1866900</xdr:colOff>
      <xdr:row>18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Стратегия">
              <a:extLst>
                <a:ext uri="{FF2B5EF4-FFF2-40B4-BE49-F238E27FC236}">
                  <a16:creationId xmlns:a16="http://schemas.microsoft.com/office/drawing/2014/main" id="{03826DF5-F07A-4B9C-812C-64899F812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ратег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375" y="9525"/>
              <a:ext cx="1828800" cy="3629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tem" refreshedDate="46268.203999884259" createdVersion="7" refreshedVersion="7" minRefreshableVersion="3" recordCount="12" xr:uid="{CBD16CDA-0AC6-47AA-B0BA-07F91E08F5DE}">
  <cacheSource type="worksheet">
    <worksheetSource name="Таблица2"/>
  </cacheSource>
  <cacheFields count="8">
    <cacheField name="Стратегия" numFmtId="0">
      <sharedItems count="12">
        <s v="Акции 100%"/>
        <s v="Облигации 100%"/>
        <s v="Вклады 100%"/>
        <s v="А50%/О50%"/>
        <s v="А10%/О90%"/>
        <s v="А20%/О80%"/>
        <s v="А30%/О70%"/>
        <s v="А40%/О60%"/>
        <s v="А60%/О40%"/>
        <s v="А70%/О30%"/>
        <s v="А80%/О20%"/>
        <s v="А90%/О10%"/>
      </sharedItems>
    </cacheField>
    <cacheField name="Вложено всего, ₽" numFmtId="44">
      <sharedItems containsSemiMixedTypes="0" containsString="0" containsNumber="1" minValue="6350420.1367777754" maxValue="6350420.1367777754"/>
    </cacheField>
    <cacheField name="Итоговый портфель, ₽" numFmtId="167">
      <sharedItems containsSemiMixedTypes="0" containsString="0" containsNumber="1" minValue="10575459.337805733" maxValue="20545366.483889993"/>
    </cacheField>
    <cacheField name="Прибыль, ₽" numFmtId="167">
      <sharedItems containsSemiMixedTypes="0" containsString="0" containsNumber="1" minValue="4225039.2010279577" maxValue="14194946.347112218"/>
    </cacheField>
    <cacheField name="Номинальная доходность, %" numFmtId="9">
      <sharedItems containsSemiMixedTypes="0" containsString="0" containsNumber="1" minValue="0.66531648458329518" maxValue="2.2352767283700983"/>
    </cacheField>
    <cacheField name="Реальная доходность, %" numFmtId="10">
      <sharedItems containsSemiMixedTypes="0" containsString="0" containsNumber="1" minValue="-0.68760538655566794" maxValue="-0.3930985297383166"/>
    </cacheField>
    <cacheField name="Среднегодовой рост, %" numFmtId="10">
      <sharedItems containsSemiMixedTypes="0" containsString="0" containsNumber="1" minValue="2.4583755008832808E-2" maxValue="5.7502729138598108E-2"/>
    </cacheField>
    <cacheField name="Тренды (2004-2024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3005316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6350420.1367777754"/>
    <n v="20545366.483889993"/>
    <n v="14194946.347112218"/>
    <n v="2.2352767283700983"/>
    <n v="-0.3930985297383166"/>
    <n v="5.7502729138598108E-2"/>
    <m/>
  </r>
  <r>
    <x v="1"/>
    <n v="6350420.1367777754"/>
    <n v="10575459.337805733"/>
    <n v="4225039.2010279577"/>
    <n v="0.66531648458329518"/>
    <n v="-0.68760538655566794"/>
    <n v="2.4583755008832808E-2"/>
    <m/>
  </r>
  <r>
    <x v="2"/>
    <n v="6350420.1367777754"/>
    <n v="13863146.903539604"/>
    <n v="7512726.7667618282"/>
    <n v="1.1830283044192114"/>
    <n v="-0.59048848095218343"/>
    <n v="3.7876513208925155E-2"/>
    <m/>
  </r>
  <r>
    <x v="3"/>
    <n v="6350420.1367777754"/>
    <n v="16523305.25040454"/>
    <n v="10172885.113626765"/>
    <n v="1.6019231632741264"/>
    <n v="-0.51190852409879062"/>
    <n v="4.6588424454075739E-2"/>
    <m/>
  </r>
  <r>
    <x v="4"/>
    <n v="6350420.1367777754"/>
    <n v="11727811.170038018"/>
    <n v="5377391.033260243"/>
    <n v="0.846777208033475"/>
    <n v="-0.65356539891227872"/>
    <n v="2.9642368762195836E-2"/>
    <m/>
  </r>
  <r>
    <x v="5"/>
    <n v="6350420.1367777754"/>
    <n v="12920586.681563182"/>
    <n v="6570166.5447854064"/>
    <n v="1.0346034440674237"/>
    <n v="-0.61833131281289599"/>
    <n v="3.4402384744934844E-2"/>
    <m/>
  </r>
  <r>
    <x v="6"/>
    <n v="6350420.1367777754"/>
    <n v="14134529.437026683"/>
    <n v="7784109.3002489079"/>
    <n v="1.2257628838079666"/>
    <n v="-0.58247195524524131"/>
    <n v="3.883509764026094E-2"/>
    <m/>
  </r>
  <r>
    <x v="7"/>
    <n v="6350420.1367777754"/>
    <n v="15345304.798581369"/>
    <n v="8994884.6618035939"/>
    <n v="1.4164235543583465"/>
    <n v="-0.54670616115924409"/>
    <n v="4.2908810053949642E-2"/>
    <m/>
  </r>
  <r>
    <x v="8"/>
    <n v="6350420.1367777754"/>
    <n v="17633674.229687437"/>
    <n v="11283254.092909662"/>
    <n v="1.7767728512266314"/>
    <n v="-0.47910869224433505"/>
    <n v="4.9834811043341753E-2"/>
    <m/>
  </r>
  <r>
    <x v="9"/>
    <n v="6350420.1367777754"/>
    <n v="18636611.01465055"/>
    <n v="12286190.877872774"/>
    <n v="1.9347052026870821"/>
    <n v="-0.44948236214937576"/>
    <n v="5.2603901320383839E-2"/>
    <m/>
  </r>
  <r>
    <x v="10"/>
    <n v="6350420.1367777754"/>
    <n v="19488023.668311793"/>
    <n v="13137603.531534018"/>
    <n v="2.0687770649140202"/>
    <n v="-0.42433199105662445"/>
    <n v="5.4845430039398568E-2"/>
    <m/>
  </r>
  <r>
    <x v="11"/>
    <n v="6350420.1367777754"/>
    <n v="20140599.898563955"/>
    <n v="13790179.76178618"/>
    <n v="2.1715381761785864"/>
    <n v="-0.40505516414246778"/>
    <n v="5.6501206409415028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A94EC-387B-4E19-808A-295694F67B04}" name="Сводная таблица1" cacheId="3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rowHeaderCaption="Стратегия">
  <location ref="A3:E15" firstHeaderRow="0" firstDataRow="1" firstDataCol="1"/>
  <pivotFields count="8">
    <pivotField axis="axisRow" showAll="0" sortType="descending">
      <items count="13">
        <item x="4"/>
        <item x="5"/>
        <item x="6"/>
        <item x="7"/>
        <item x="3"/>
        <item x="8"/>
        <item x="9"/>
        <item x="10"/>
        <item x="11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numFmtId="167" showAll="0"/>
    <pivotField dataField="1" numFmtId="167" showAll="0"/>
    <pivotField numFmtId="9" showAll="0"/>
    <pivotField dataField="1" numFmtId="10" showAll="0"/>
    <pivotField dataField="1" numFmtId="10" showAll="0"/>
    <pivotField showAll="0"/>
  </pivotFields>
  <rowFields count="1">
    <field x="0"/>
  </rowFields>
  <rowItems count="12">
    <i>
      <x v="9"/>
    </i>
    <i>
      <x v="8"/>
    </i>
    <i>
      <x v="7"/>
    </i>
    <i>
      <x v="6"/>
    </i>
    <i>
      <x v="5"/>
    </i>
    <i>
      <x v="4"/>
    </i>
    <i>
      <x v="3"/>
    </i>
    <i>
      <x v="2"/>
    </i>
    <i>
      <x v="10"/>
    </i>
    <i>
      <x v="1"/>
    </i>
    <i>
      <x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Итоговый портфель" fld="2" subtotal="max" baseField="0" baseItem="3" numFmtId="167"/>
    <dataField name="Прибыль" fld="3" subtotal="max" baseField="0" baseItem="3" numFmtId="167"/>
    <dataField name="Реальная доходность" fld="5" subtotal="max" baseField="0" baseItem="3" numFmtId="10"/>
    <dataField name="Среднегодовой рост" fld="6" subtotal="max" baseField="0" baseItem="3"/>
  </dataFields>
  <formats count="5">
    <format dxfId="4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3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ратегия" xr10:uid="{3988E869-9563-49EF-BF88-0A30B32B905C}" sourceName="Стратегия">
  <pivotTables>
    <pivotTable tabId="14" name="Сводная таблица1"/>
  </pivotTables>
  <data>
    <tabular pivotCacheId="300531661">
      <items count="12">
        <i x="4" s="1"/>
        <i x="5" s="1"/>
        <i x="6" s="1"/>
        <i x="7" s="1"/>
        <i x="3" s="1"/>
        <i x="8" s="1"/>
        <i x="9" s="1"/>
        <i x="10" s="1"/>
        <i x="11" s="1"/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тратегия" xr10:uid="{690FFC7A-7D83-45C6-A4A8-B342832C9AB2}" cache="Срез_Стратегия" caption="Стратегия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727FD47-6805-49CB-8F50-E4A9730DE8F6}" name="Таблица18" displayName="Таблица18" ref="B8:C29" totalsRowShown="0">
  <autoFilter ref="B8:C29" xr:uid="{E727FD47-6805-49CB-8F50-E4A9730DE8F6}"/>
  <tableColumns count="2">
    <tableColumn id="1" xr3:uid="{3CBF6BCF-E713-4E9C-A9AA-A875E7CE3609}" name="Год"/>
    <tableColumn id="2" xr3:uid="{2009B36A-472F-4C1E-AAAF-9F7740909095}" name="Разовый взнос" dataDxfId="279" dataCellStyle="Денежный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4:E26" totalsRowShown="0" headerRowDxfId="278">
  <autoFilter ref="A4:E26" xr:uid="{00000000-0009-0000-0100-000001000000}"/>
  <tableColumns count="5">
    <tableColumn id="1" xr3:uid="{00000000-0010-0000-0000-000001000000}" name="Год" dataDxfId="277"/>
    <tableColumn id="2" xr3:uid="{00000000-0010-0000-0000-000002000000}" name="MCFTR значение" dataDxfId="276"/>
    <tableColumn id="3" xr3:uid="{00000000-0010-0000-0000-000003000000}" name="Доходность акций" dataDxfId="275">
      <calculatedColumnFormula>B5/B4-1</calculatedColumnFormula>
    </tableColumn>
    <tableColumn id="4" xr3:uid="{00000000-0010-0000-0000-000004000000}" name="RGBITR значение_x0009_" dataDxfId="274"/>
    <tableColumn id="5" xr3:uid="{00000000-0010-0000-0000-000005000000}" name="Доходность облигаций" dataDxfId="273">
      <calculatedColumnFormula>D5/D4-1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Данные" displayName="Данные" ref="A3:I24" totalsRowShown="0" headerRowDxfId="272">
  <autoFilter ref="A3:I24" xr:uid="{00000000-0009-0000-0100-000003000000}"/>
  <tableColumns count="9">
    <tableColumn id="1" xr3:uid="{00000000-0010-0000-0100-000001000000}" name="Год" dataDxfId="271"/>
    <tableColumn id="2" xr3:uid="{00000000-0010-0000-0100-000002000000}" name="Акции(MCFTR)" dataDxfId="270">
      <calculatedColumnFormula>VLOOKUP(Данные[[#This Row],[Год]],'Сырые данные'!$A$5:$E$26,3,TRUE)</calculatedColumnFormula>
    </tableColumn>
    <tableColumn id="3" xr3:uid="{00000000-0010-0000-0100-000003000000}" name="Облигации(RGBITR)" dataDxfId="269">
      <calculatedColumnFormula>VLOOKUP(Данные[[#This Row],[Год]],'Сырые данные'!$A$5:$E$26,5,0)</calculatedColumnFormula>
    </tableColumn>
    <tableColumn id="4" xr3:uid="{00000000-0010-0000-0100-000004000000}" name="Вклады" dataDxfId="268"/>
    <tableColumn id="5" xr3:uid="{00000000-0010-0000-0100-000005000000}" name="Инфляция (ИЦП)" dataDxfId="267"/>
    <tableColumn id="6" xr3:uid="{00000000-0010-0000-0100-000006000000}" name="Кумулятивная инфляция" dataDxfId="266" dataCellStyle="Процентный">
      <calculatedColumnFormula>1+Данные[[#This Row],[Инфляция (ИЦП)]]</calculatedColumnFormula>
    </tableColumn>
    <tableColumn id="7" xr3:uid="{00000000-0010-0000-0100-000007000000}" name="Взнос с индексацией" dataDxfId="265"/>
    <tableColumn id="8" xr3:uid="{42700C04-269D-4929-8DE6-EDB55EB082C7}" name="Разовый взнос" dataDxfId="264">
      <calculatedColumnFormula>IFERROR(VLOOKUP(A4,Таблица18[#All],2,FALSE),0)</calculatedColumnFormula>
    </tableColumn>
    <tableColumn id="9" xr3:uid="{C704CA8B-89D0-43D2-8B99-18655DEF79B4}" name="Итоговый взнос" dataDxfId="263">
      <calculatedColumnFormula>Данные[[#This Row],[Взнос с индексацией]]+Данные[[#This Row],[Разовый взнос]]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Таблица5" displayName="Таблица5" ref="A3:L25" totalsRowCount="1" headerRowDxfId="260">
  <autoFilter ref="A3:L24" xr:uid="{00000000-0009-0000-0100-000005000000}"/>
  <tableColumns count="12">
    <tableColumn id="1" xr3:uid="{00000000-0010-0000-0200-000001000000}" name="Год" totalsRowLabel="Итог"/>
    <tableColumn id="2" xr3:uid="{00000000-0010-0000-0200-000002000000}" name="Взнос" dataDxfId="259" dataCellStyle="Денежный">
      <calculatedColumnFormula>IF(AND(Таблица5[[#This Row],[Год]]&gt;=Настройки!$B$4, Таблица5[[#This Row],[Год]]&lt;=Настройки!$B$5), IFERROR(VLOOKUP(Таблица5[[#This Row],[Год]],Данные[#All],9,FALSE),0), 0)</calculatedColumnFormula>
    </tableColumn>
    <tableColumn id="3" xr3:uid="{00000000-0010-0000-0200-000003000000}" name="Доля Акций">
      <calculatedColumnFormula>VLOOKUP(Настройки!$B$7,Настройки!$L$1:$N$14,2,FALSE)</calculatedColumnFormula>
    </tableColumn>
    <tableColumn id="4" xr3:uid="{00000000-0010-0000-0200-000004000000}" name="Доля Облигаций">
      <calculatedColumnFormula>VLOOKUP(Настройки!$B$7,Настройки!$L$1:$N$14,3,FALSE)</calculatedColumnFormula>
    </tableColumn>
    <tableColumn id="5" xr3:uid="{00000000-0010-0000-0200-000005000000}" name="Доходность стратегии за год" dataDxfId="258" totalsRowDxfId="257" dataCellStyle="Процентный">
      <calculatedColumnFormula>C4*VLOOKUP(A4,Данные[#All],2,FALSE)+'Калькулятор стратегий'!D4*VLOOKUP(A4,Данные[#All],3,FALSE)+(1-C4-D4)*VLOOKUP(A4,Данные[#All],4,FALSE)</calculatedColumnFormula>
    </tableColumn>
    <tableColumn id="6" xr3:uid="{00000000-0010-0000-0200-000006000000}" name="Портфель на НАЧАЛО года" dataDxfId="256" dataCellStyle="Денежный">
      <calculatedColumnFormula>H3</calculatedColumnFormula>
    </tableColumn>
    <tableColumn id="7" xr3:uid="{00000000-0010-0000-0200-000007000000}" name="Доход" dataDxfId="255">
      <calculatedColumnFormula>(F4+B4)*E4</calculatedColumnFormula>
    </tableColumn>
    <tableColumn id="8" xr3:uid="{00000000-0010-0000-0200-000008000000}" name="Итоговый портфель, ₽" dataDxfId="254" totalsRowDxfId="253">
      <calculatedColumnFormula>F4+B4+G4</calculatedColumnFormula>
    </tableColumn>
    <tableColumn id="9" xr3:uid="{00000000-0010-0000-0200-000009000000}" name="Вложено всего, ₽" dataDxfId="252">
      <calculatedColumnFormula>SUM($B$4:B4)</calculatedColumnFormula>
    </tableColumn>
    <tableColumn id="10" xr3:uid="{00000000-0010-0000-0200-00000A000000}" name="Номинальная доходность" dataDxfId="251">
      <calculatedColumnFormula>(H4-I4)/I4</calculatedColumnFormula>
    </tableColumn>
    <tableColumn id="11" xr3:uid="{00000000-0010-0000-0200-00000B000000}" name="Реальная доходность, %" dataDxfId="250" totalsRowDxfId="249">
      <calculatedColumnFormula>IFERROR((1+J4)/(VLOOKUP(A4,Данные[#All],6,FALSE))-1,"")</calculatedColumnFormula>
    </tableColumn>
    <tableColumn id="12" xr3:uid="{00000000-0010-0000-0200-00000C000000}" name="Среднегодовой рост" dataDxfId="248">
      <calculatedColumnFormula>IFERROR((H4/I4)^((1/(A4-$A$4+1)))-1,"")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894138-0DAC-47DC-B86F-EA20497964F9}" name="Таблица4" displayName="Таблица4" ref="A269:M290" totalsRowShown="0" headerRowDxfId="223" dataDxfId="221" headerRowBorderDxfId="222" tableBorderDxfId="220" totalsRowBorderDxfId="219">
  <autoFilter ref="A269:M290" xr:uid="{26894138-0DAC-47DC-B86F-EA20497964F9}"/>
  <tableColumns count="13">
    <tableColumn id="1" xr3:uid="{1E3207E8-198F-43E7-A559-B37D7F6901E1}" name="Стратегия" dataDxfId="218"/>
    <tableColumn id="2" xr3:uid="{0938CB7C-C281-48F2-BF9B-DFF6FA0FF9EB}" name="Год" dataDxfId="217">
      <calculatedColumnFormula>'Исходные данные'!$A4</calculatedColumnFormula>
    </tableColumn>
    <tableColumn id="3" xr3:uid="{1472A1DF-4600-4DAB-A5B5-86BD1498820A}" name="Взнос" dataDxfId="216" dataCellStyle="Денежный">
      <calculatedColumnFormula>IF(AND(Таблица4[[#This Row],[Год]]&gt;=Настройки!$B$4, Таблица4[[#This Row],[Год]]&lt;=Настройки!$B$5),IFERROR(VLOOKUP(Таблица4[[#This Row],[Год]],Данные[#All],9,FALSE),0),0)</calculatedColumnFormula>
    </tableColumn>
    <tableColumn id="4" xr3:uid="{ECC1B03A-D144-4C7B-855B-FFA31B13320E}" name="Доля Акций" dataDxfId="215">
      <calculatedColumnFormula>VLOOKUP($A$270,Настройки!$L$2:$N$13,2,FALSE)</calculatedColumnFormula>
    </tableColumn>
    <tableColumn id="5" xr3:uid="{55ABB26D-2872-438E-A9E4-D3BA23C0D7BB}" name="Доля Облигаций" dataDxfId="214">
      <calculatedColumnFormula>VLOOKUP($A$270,Настройки!$L$2:$N$13,3,FALSE)</calculatedColumnFormula>
    </tableColumn>
    <tableColumn id="6" xr3:uid="{E1D91A33-5C9A-4FBA-869C-25F8011E93AE}" name="Доходность стратегии за год" dataDxfId="213" dataCellStyle="Процентный">
      <calculatedColumnFormula>D270*VLOOKUP(B270,'Исходные данные'!$A$4:$G$24,2,FALSE)+E270*VLOOKUP(B270,'Исходные данные'!$A$4:$G$24,3,FALSE)+(1-D270-E270)*VLOOKUP(B270,'Исходные данные'!$A$4:$G$24,4,FALSE)</calculatedColumnFormula>
    </tableColumn>
    <tableColumn id="7" xr3:uid="{1D5C07A3-2F3C-4610-A8A2-F4E17E67B688}" name="Портфель на НАЧАЛО года" dataDxfId="212" dataCellStyle="Денежный">
      <calculatedColumnFormula>I269</calculatedColumnFormula>
    </tableColumn>
    <tableColumn id="8" xr3:uid="{213345DC-4727-4437-B26E-E2A187CAC53E}" name="Доход" dataDxfId="211">
      <calculatedColumnFormula>(G270+C270)*F270</calculatedColumnFormula>
    </tableColumn>
    <tableColumn id="9" xr3:uid="{29CCD34A-8C85-4AC4-97E2-A56165CD654F}" name="Итоговый портфель, ₽" dataDxfId="210">
      <calculatedColumnFormula>G270+C270+H270</calculatedColumnFormula>
    </tableColumn>
    <tableColumn id="10" xr3:uid="{0A370431-926D-4115-B1D2-0B93E1A80275}" name="Вложено всего, ₽" dataDxfId="209">
      <calculatedColumnFormula>J269+C270</calculatedColumnFormula>
    </tableColumn>
    <tableColumn id="11" xr3:uid="{0C4AD5A6-C5AA-48D8-BE8D-60A4078A4378}" name="Номинальная доходность" dataDxfId="208">
      <calculatedColumnFormula>IFERROR((I270-J270)/J270,"")</calculatedColumnFormula>
    </tableColumn>
    <tableColumn id="12" xr3:uid="{256FAF66-B904-4D79-95E7-2D10C7066208}" name="Реальная доходность, %" dataDxfId="207">
      <calculatedColumnFormula>IFERROR((1+K270)/VLOOKUP(B270,'Исходные данные'!$A$4:$G$24,6,FALSE)-1,"")</calculatedColumnFormula>
    </tableColumn>
    <tableColumn id="13" xr3:uid="{D780D0E4-E29D-494D-B761-F82855A8B083}" name="Среднегодовой рост" dataDxfId="206" dataCellStyle="Процентный">
      <calculatedColumnFormula>IFERROR((I270/J270)^(1/(B270-$B$270+1))-1,"")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2D3290-73C6-4624-BFA9-632A76F27A52}" name="Таблица6" displayName="Таблица6" ref="A245:M266" totalsRowShown="0" headerRowDxfId="205" dataDxfId="203" headerRowBorderDxfId="204" tableBorderDxfId="202" totalsRowBorderDxfId="201">
  <autoFilter ref="A245:M266" xr:uid="{992D3290-73C6-4624-BFA9-632A76F27A52}"/>
  <tableColumns count="13">
    <tableColumn id="1" xr3:uid="{D39C5609-4E54-40DC-9A10-F18A634632F6}" name="Стратегия" dataDxfId="200"/>
    <tableColumn id="2" xr3:uid="{AD0C337B-1BC6-44FC-9B63-305893241B27}" name="Год" dataDxfId="199">
      <calculatedColumnFormula>'Исходные данные'!$A4</calculatedColumnFormula>
    </tableColumn>
    <tableColumn id="3" xr3:uid="{47F3BB7A-6938-494E-A264-205AACCCC501}" name="Взнос" dataDxfId="198" dataCellStyle="Денежный">
      <calculatedColumnFormula>IF(AND(Таблица6[[#This Row],[Год]]&gt;=Настройки!$B$4, Таблица6[[#This Row],[Год]]&lt;=Настройки!$B$5),IFERROR(VLOOKUP(Таблица6[[#This Row],[Год]],Данные[#All],9,FALSE),0),0)</calculatedColumnFormula>
    </tableColumn>
    <tableColumn id="4" xr3:uid="{2AFF90D7-38F9-44F6-8304-86AA7F0B7DB9}" name="Доля Акций" dataDxfId="197">
      <calculatedColumnFormula>VLOOKUP($A$246,Настройки!$L$2:$N$13,2,FALSE)</calculatedColumnFormula>
    </tableColumn>
    <tableColumn id="5" xr3:uid="{573E9BFC-28F4-44AD-A70C-65A20A0114A0}" name="Доля Облигаций" dataDxfId="196">
      <calculatedColumnFormula>VLOOKUP($A$246,Настройки!$L$2:$N$13,3,FALSE)</calculatedColumnFormula>
    </tableColumn>
    <tableColumn id="6" xr3:uid="{2E38239C-4F19-4199-A1FA-33B362B5F5B6}" name="Доходность стратегии за год" dataDxfId="195" dataCellStyle="Процентный">
      <calculatedColumnFormula>D246*VLOOKUP(B246,'Исходные данные'!$A$4:$G$24,2,FALSE)+E246*VLOOKUP(B246,'Исходные данные'!$A$4:$G$24,3,FALSE)+(1-D246-E246)*VLOOKUP(B246,'Исходные данные'!$A$4:$G$24,4,FALSE)</calculatedColumnFormula>
    </tableColumn>
    <tableColumn id="7" xr3:uid="{E9E6540D-62E4-4DAD-96F7-1895E2E9985C}" name="Портфель на НАЧАЛО года" dataDxfId="194" dataCellStyle="Денежный">
      <calculatedColumnFormula>I245</calculatedColumnFormula>
    </tableColumn>
    <tableColumn id="8" xr3:uid="{4AC5FF01-36E9-4809-BAD5-80052E7A0C78}" name="Доход" dataDxfId="193">
      <calculatedColumnFormula>(G246+C246)*F246</calculatedColumnFormula>
    </tableColumn>
    <tableColumn id="9" xr3:uid="{A4544B56-923A-4D7F-B06A-158712F72E6E}" name="Итоговый портфель, ₽" dataDxfId="192">
      <calculatedColumnFormula>G246+C246+H246</calculatedColumnFormula>
    </tableColumn>
    <tableColumn id="10" xr3:uid="{F87B7F7D-C5D1-4516-A836-B2229D4543DF}" name="Вложено всего, ₽" dataDxfId="191">
      <calculatedColumnFormula>J245+C246</calculatedColumnFormula>
    </tableColumn>
    <tableColumn id="11" xr3:uid="{9958B1D1-BC7B-49EC-9C05-3672B725B90B}" name="Номинальная доходность" dataDxfId="190">
      <calculatedColumnFormula>IFERROR((I246-J246)/J246,"")</calculatedColumnFormula>
    </tableColumn>
    <tableColumn id="12" xr3:uid="{1DB05B26-242F-46BE-B86F-ECE967924E46}" name="Реальная доходность, %" dataDxfId="189">
      <calculatedColumnFormula>IFERROR((1+K246)/VLOOKUP(B246,'Исходные данные'!$A$4:$G$24,6,FALSE)-1,"")</calculatedColumnFormula>
    </tableColumn>
    <tableColumn id="13" xr3:uid="{7C8B107E-1DE4-46C6-A1EC-5C9E23F9351D}" name="Среднегодовой рост" dataDxfId="188" dataCellStyle="Процентный">
      <calculatedColumnFormula>IFERROR((I246/J246)^(1/(B246-$B$246+1))-1,"")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DC6241-6833-4987-B2D0-4C0372003D8A}" name="Таблица7" displayName="Таблица7" ref="A221:M242" totalsRowShown="0" headerRowDxfId="187" dataDxfId="185" headerRowBorderDxfId="186" tableBorderDxfId="184" totalsRowBorderDxfId="183">
  <autoFilter ref="A221:M242" xr:uid="{4DDC6241-6833-4987-B2D0-4C0372003D8A}"/>
  <tableColumns count="13">
    <tableColumn id="1" xr3:uid="{91BA10FF-3375-4582-8591-E37122BF2A21}" name="Стратегия" dataDxfId="182"/>
    <tableColumn id="2" xr3:uid="{37D1DDB6-7160-4171-8873-0686A652AB69}" name="Год" dataDxfId="181">
      <calculatedColumnFormula>'Исходные данные'!$A4</calculatedColumnFormula>
    </tableColumn>
    <tableColumn id="3" xr3:uid="{AC61A059-9D65-4E82-BDB4-26D72D1C0314}" name="Взнос" dataDxfId="180" dataCellStyle="Денежный">
      <calculatedColumnFormula>IF(AND(Таблица7[[#This Row],[Год]]&gt;=Настройки!$B$4, Таблица7[[#This Row],[Год]]&lt;=Настройки!$B$5),IFERROR(VLOOKUP(Таблица7[[#This Row],[Год]],Данные[#All],9,FALSE),0),0)</calculatedColumnFormula>
    </tableColumn>
    <tableColumn id="4" xr3:uid="{4C9EEDC7-31D0-4A21-9124-A738338DBE84}" name="Доля Акций" dataDxfId="179">
      <calculatedColumnFormula>VLOOKUP($A$222,Настройки!$L$2:$N$13,2,FALSE)</calculatedColumnFormula>
    </tableColumn>
    <tableColumn id="5" xr3:uid="{3D63E904-77AF-4585-BEE7-1B07E46DCD15}" name="Доля Облигаций" dataDxfId="178">
      <calculatedColumnFormula>VLOOKUP($A$222,Настройки!$L$2:$N$13,3,FALSE)</calculatedColumnFormula>
    </tableColumn>
    <tableColumn id="6" xr3:uid="{B9460949-9057-4F0E-AB73-BE3A9304DB24}" name="Доходность стратегии за год" dataDxfId="177" dataCellStyle="Процентный">
      <calculatedColumnFormula>D222*VLOOKUP(B222,'Исходные данные'!$A$4:$G$24,2,FALSE)+E222*VLOOKUP(B222,'Исходные данные'!$A$4:$G$24,3,FALSE)+(1-D222-E222)*VLOOKUP(B222,'Исходные данные'!$A$4:$G$24,4,FALSE)</calculatedColumnFormula>
    </tableColumn>
    <tableColumn id="7" xr3:uid="{0C3911F1-2556-41BD-A12C-32782F672B79}" name="Портфель на НАЧАЛО года" dataDxfId="176" dataCellStyle="Денежный">
      <calculatedColumnFormula>I221</calculatedColumnFormula>
    </tableColumn>
    <tableColumn id="8" xr3:uid="{354484D9-18D9-47FE-873B-F7FCA5B640F3}" name="Доход" dataDxfId="175">
      <calculatedColumnFormula>(G222+C222)*F222</calculatedColumnFormula>
    </tableColumn>
    <tableColumn id="9" xr3:uid="{29CF3D98-5AED-4D50-9289-169D9E889BD9}" name="Итоговый портфель, ₽" dataDxfId="174">
      <calculatedColumnFormula>G222+C222+H222</calculatedColumnFormula>
    </tableColumn>
    <tableColumn id="10" xr3:uid="{908E998E-97F8-47B6-958F-52D97CEDF4B6}" name="Вложено всего, ₽" dataDxfId="173">
      <calculatedColumnFormula>J221+C222</calculatedColumnFormula>
    </tableColumn>
    <tableColumn id="11" xr3:uid="{0E1B3BD3-B87B-4DF0-9A8E-56C21AF822B4}" name="Номинальная доходность" dataDxfId="172">
      <calculatedColumnFormula>IFERROR((I222-J222)/J222,"")</calculatedColumnFormula>
    </tableColumn>
    <tableColumn id="12" xr3:uid="{7E445BF7-B8E5-4D46-8F29-3A97EEF23D3B}" name="Реальная доходность, %" dataDxfId="171">
      <calculatedColumnFormula>IFERROR((1+K222)/VLOOKUP(B222,'Исходные данные'!$A$4:$G$24,6,FALSE)-1,"")</calculatedColumnFormula>
    </tableColumn>
    <tableColumn id="13" xr3:uid="{E0DAF28D-0F83-474D-B48C-6482CE0FEAA3}" name="Среднегодовой рост" dataDxfId="170" dataCellStyle="Процентный">
      <calculatedColumnFormula>IFERROR((I222/J222)^(1/(B222-$B$222+1))-1,"")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FA71CD-F48D-446E-853F-9FCB149D8D1C}" name="Таблица8" displayName="Таблица8" ref="A197:M218" totalsRowShown="0" headerRowDxfId="169" dataDxfId="167" headerRowBorderDxfId="168" tableBorderDxfId="166" totalsRowBorderDxfId="165">
  <autoFilter ref="A197:M218" xr:uid="{88FA71CD-F48D-446E-853F-9FCB149D8D1C}"/>
  <tableColumns count="13">
    <tableColumn id="1" xr3:uid="{EB7B8464-3B1A-4929-91BE-0829BF815823}" name="Стратегия" dataDxfId="164"/>
    <tableColumn id="2" xr3:uid="{55B2BD44-8609-415D-862D-26F061E81001}" name="Год" dataDxfId="163">
      <calculatedColumnFormula>'Исходные данные'!$A4</calculatedColumnFormula>
    </tableColumn>
    <tableColumn id="3" xr3:uid="{6B9412B6-3FC4-487D-B10C-49CFBBED61E0}" name="Взнос" dataDxfId="162" dataCellStyle="Денежный">
      <calculatedColumnFormula>IF(AND(Таблица8[[#This Row],[Год]]&gt;=Настройки!$B$4, Таблица8[[#This Row],[Год]]&lt;=Настройки!$B$5),IFERROR(VLOOKUP(Таблица8[[#This Row],[Год]],Данные[#All],9,FALSE),0),0)</calculatedColumnFormula>
    </tableColumn>
    <tableColumn id="4" xr3:uid="{87566394-4EF8-47E9-877F-A0C791CBF3AB}" name="Доля Акций" dataDxfId="161">
      <calculatedColumnFormula>VLOOKUP($A$198,Настройки!$L$2:$N$13,2,FALSE)</calculatedColumnFormula>
    </tableColumn>
    <tableColumn id="5" xr3:uid="{18BB0C3B-FCDC-43C8-8804-3A9D934D9878}" name="Доля Облигаций" dataDxfId="160">
      <calculatedColumnFormula>VLOOKUP($A$198,Настройки!$L$2:$N$13,3,FALSE)</calculatedColumnFormula>
    </tableColumn>
    <tableColumn id="6" xr3:uid="{0EDDD61C-CC8A-4C7C-BFC0-ECF3749C0E0A}" name="Доходность стратегии за год" dataDxfId="159" dataCellStyle="Процентный">
      <calculatedColumnFormula>D198*VLOOKUP(B198,'Исходные данные'!$A$4:$G$24,2,FALSE)+E198*VLOOKUP(B198,'Исходные данные'!$A$4:$G$24,3,FALSE)+(1-D198-E198)*VLOOKUP(B198,'Исходные данные'!$A$4:$G$24,4,FALSE)</calculatedColumnFormula>
    </tableColumn>
    <tableColumn id="7" xr3:uid="{DC6F6D6E-7120-4FDE-A7B1-282595AE5866}" name="Портфель на НАЧАЛО года" dataDxfId="158" dataCellStyle="Денежный">
      <calculatedColumnFormula>I197</calculatedColumnFormula>
    </tableColumn>
    <tableColumn id="8" xr3:uid="{0C2340D4-87E2-452F-890D-F53E83249FA3}" name="Доход" dataDxfId="157">
      <calculatedColumnFormula>(G198+C198)*F198</calculatedColumnFormula>
    </tableColumn>
    <tableColumn id="9" xr3:uid="{CA12F7AE-FEF7-44D2-8E15-956BEA1C910A}" name="Итоговый портфель, ₽" dataDxfId="156">
      <calculatedColumnFormula>G198+C198+H198</calculatedColumnFormula>
    </tableColumn>
    <tableColumn id="10" xr3:uid="{E5B34B1D-E072-4D79-85EA-1760A77FB807}" name="Вложено всего, ₽" dataDxfId="155">
      <calculatedColumnFormula>J197+C198</calculatedColumnFormula>
    </tableColumn>
    <tableColumn id="11" xr3:uid="{89A3225A-A96A-4EF6-90A9-90822EEA6F89}" name="Номинальная доходность" dataDxfId="154">
      <calculatedColumnFormula>IFERROR((I198-J198)/J198,"")</calculatedColumnFormula>
    </tableColumn>
    <tableColumn id="12" xr3:uid="{90B4532E-D4FF-4626-9F74-C7791E05A00C}" name="Реальная доходность, %" dataDxfId="153">
      <calculatedColumnFormula>IFERROR((1+K198)/VLOOKUP(B198,'Исходные данные'!$A$4:$G$24,6,FALSE)-1,"")</calculatedColumnFormula>
    </tableColumn>
    <tableColumn id="13" xr3:uid="{7727C2D7-7BD8-4D9A-B85C-B459D4350134}" name="Среднегодовой рост" dataDxfId="152" dataCellStyle="Процентный">
      <calculatedColumnFormula>IFERROR((I198/J198)^(1/(B198-$B$198+1))-1,"")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3923DE-ECCA-4BEF-A2C4-A1D5B66DB419}" name="Таблица9" displayName="Таблица9" ref="A173:M194" totalsRowShown="0" headerRowDxfId="151" dataDxfId="149" headerRowBorderDxfId="150" tableBorderDxfId="148" totalsRowBorderDxfId="147">
  <autoFilter ref="A173:M194" xr:uid="{713923DE-ECCA-4BEF-A2C4-A1D5B66DB419}"/>
  <tableColumns count="13">
    <tableColumn id="1" xr3:uid="{77AFAFB7-AC0E-4F38-9F3F-8EBEF7D8657C}" name="Стратегия" dataDxfId="146"/>
    <tableColumn id="2" xr3:uid="{197D7745-5EDB-4082-84BF-C4BD25AC27ED}" name="Год" dataDxfId="145">
      <calculatedColumnFormula>'Исходные данные'!$A4</calculatedColumnFormula>
    </tableColumn>
    <tableColumn id="3" xr3:uid="{84160EAB-D038-421A-96C1-E842B39F5C16}" name="Взнос" dataDxfId="144" dataCellStyle="Денежный">
      <calculatedColumnFormula>IF(AND(Таблица9[[#This Row],[Год]]&gt;=Настройки!$B$4, Таблица9[[#This Row],[Год]]&lt;=Настройки!$B$5),IFERROR(VLOOKUP(Таблица9[[#This Row],[Год]],Данные[#All],9,FALSE),0),0)</calculatedColumnFormula>
    </tableColumn>
    <tableColumn id="4" xr3:uid="{3DEDA995-12F7-4830-B97B-292FD5CABC28}" name="Доля Акций" dataDxfId="143">
      <calculatedColumnFormula>VLOOKUP($A$174,Настройки!$L$2:$N$13,2,FALSE)</calculatedColumnFormula>
    </tableColumn>
    <tableColumn id="5" xr3:uid="{25AE7273-57DD-490F-A398-273BDD3B2BC4}" name="Доля Облигаций" dataDxfId="142">
      <calculatedColumnFormula>VLOOKUP($A$174,Настройки!$L$2:$N$13,3,FALSE)</calculatedColumnFormula>
    </tableColumn>
    <tableColumn id="6" xr3:uid="{0DA37E91-EE5D-463C-9590-7C79A91D8554}" name="Доходность стратегии за год" dataDxfId="141" dataCellStyle="Процентный">
      <calculatedColumnFormula>D174*VLOOKUP(B174,'Исходные данные'!$A$4:$G$24,2,FALSE)+E174*VLOOKUP(B174,'Исходные данные'!$A$4:$G$24,3,FALSE)+(1-D174-E174)*VLOOKUP(B174,'Исходные данные'!$A$4:$G$24,4,FALSE)</calculatedColumnFormula>
    </tableColumn>
    <tableColumn id="7" xr3:uid="{7FFB68F4-11CC-42B2-985C-B33E9154FB4D}" name="Портфель на НАЧАЛО года" dataDxfId="140" dataCellStyle="Денежный">
      <calculatedColumnFormula>I173</calculatedColumnFormula>
    </tableColumn>
    <tableColumn id="8" xr3:uid="{EBEE4F2D-ED81-41B6-9B4F-D2840DA3E322}" name="Доход" dataDxfId="139">
      <calculatedColumnFormula>(G174+C174)*F174</calculatedColumnFormula>
    </tableColumn>
    <tableColumn id="9" xr3:uid="{30A86CCC-F3C5-4AF3-86D3-DD7D2FB50AFE}" name="Итоговый портфель, ₽" dataDxfId="138">
      <calculatedColumnFormula>G174+C174+H174</calculatedColumnFormula>
    </tableColumn>
    <tableColumn id="10" xr3:uid="{EE326787-7353-4A19-A3ED-A9C64319E4F4}" name="Вложено всего, ₽" dataDxfId="137">
      <calculatedColumnFormula>J173+C174</calculatedColumnFormula>
    </tableColumn>
    <tableColumn id="11" xr3:uid="{75A0D5F9-5BD6-4ECB-84A7-E781BEB30EAB}" name="Номинальная доходность" dataDxfId="136">
      <calculatedColumnFormula>IFERROR((I174-J174)/J174,"")</calculatedColumnFormula>
    </tableColumn>
    <tableColumn id="12" xr3:uid="{5772020C-A0DA-483D-862D-475F29DAA70C}" name="Реальная доходность, %" dataDxfId="135">
      <calculatedColumnFormula>IFERROR((1+K174)/VLOOKUP(B174,'Исходные данные'!$A$4:$G$24,6,FALSE)-1,"")</calculatedColumnFormula>
    </tableColumn>
    <tableColumn id="13" xr3:uid="{1B7FF466-2107-43F3-98DE-00381A06B444}" name="Среднегодовой рост" dataDxfId="134" dataCellStyle="Процентный">
      <calculatedColumnFormula>IFERROR((I174/J174)^(1/(B174-$B$174+1))-1,"")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8A496-F177-4710-920E-CDED55AC48EC}" name="Таблица10" displayName="Таблица10" ref="A149:M170" totalsRowShown="0" headerRowDxfId="133" dataDxfId="131" headerRowBorderDxfId="132" tableBorderDxfId="130" totalsRowBorderDxfId="129">
  <autoFilter ref="A149:M170" xr:uid="{E158A496-F177-4710-920E-CDED55AC48EC}"/>
  <tableColumns count="13">
    <tableColumn id="1" xr3:uid="{2DFB6539-BED0-4B8E-AD8F-3EC85917E373}" name="Стратегия" dataDxfId="128"/>
    <tableColumn id="2" xr3:uid="{BA8649F8-4E41-41E4-8E99-602C2461DCC5}" name="Год" dataDxfId="127">
      <calculatedColumnFormula>'Исходные данные'!$A4</calculatedColumnFormula>
    </tableColumn>
    <tableColumn id="3" xr3:uid="{08CBFABB-C26F-4121-A01D-46B6734CECB3}" name="Взнос" dataDxfId="126" dataCellStyle="Денежный">
      <calculatedColumnFormula>IF(AND(Таблица10[[#This Row],[Год]]&gt;=Настройки!$B$4, Таблица10[[#This Row],[Год]]&lt;=Настройки!$B$5),IFERROR(VLOOKUP(Таблица10[[#This Row],[Год]],Данные[#All],9,FALSE),0),0)</calculatedColumnFormula>
    </tableColumn>
    <tableColumn id="4" xr3:uid="{2619776E-C841-4317-88DB-17FEA6970D91}" name="Доля Акций" dataDxfId="125">
      <calculatedColumnFormula>VLOOKUP($A$150,Настройки!$L$2:$N$13,2,FALSE)</calculatedColumnFormula>
    </tableColumn>
    <tableColumn id="5" xr3:uid="{1160A7A7-9FE4-401D-945D-770CBAF440F4}" name="Доля Облигаций" dataDxfId="124">
      <calculatedColumnFormula>VLOOKUP($A$150,Настройки!$L$2:$N$13,3,FALSE)</calculatedColumnFormula>
    </tableColumn>
    <tableColumn id="6" xr3:uid="{D27396B5-49E5-4E6E-BC28-984656F09D3F}" name="Доходность стратегии за год" dataDxfId="123" dataCellStyle="Процентный">
      <calculatedColumnFormula>D150*VLOOKUP(B150,'Исходные данные'!$A$4:$G$24,2,FALSE)+E150*VLOOKUP(B150,'Исходные данные'!$A$4:$G$24,3,FALSE)+(1-D150-E150)*VLOOKUP(B150,'Исходные данные'!$A$4:$G$24,4,FALSE)</calculatedColumnFormula>
    </tableColumn>
    <tableColumn id="7" xr3:uid="{E3AC9A54-E20B-4AAE-A96E-C19A5812121E}" name="Портфель на НАЧАЛО года" dataDxfId="122" dataCellStyle="Денежный">
      <calculatedColumnFormula>I149</calculatedColumnFormula>
    </tableColumn>
    <tableColumn id="8" xr3:uid="{9CA66008-E8F3-49F6-9492-AE2E2F5AC8DC}" name="Доход" dataDxfId="121">
      <calculatedColumnFormula>(G150+C150)*F150</calculatedColumnFormula>
    </tableColumn>
    <tableColumn id="9" xr3:uid="{BF0E2E40-C039-48ED-96E0-75ECF316222E}" name="Итоговый портфель, ₽" dataDxfId="120">
      <calculatedColumnFormula>G150+C150+H150</calculatedColumnFormula>
    </tableColumn>
    <tableColumn id="10" xr3:uid="{A8ED9D85-3706-4068-894B-24759CCEA966}" name="Вложено всего, ₽" dataDxfId="119">
      <calculatedColumnFormula>J149+C150</calculatedColumnFormula>
    </tableColumn>
    <tableColumn id="11" xr3:uid="{EA40D5F3-F70D-4862-8C4D-8531ABA307F5}" name="Номинальная доходность" dataDxfId="118">
      <calculatedColumnFormula>IFERROR((I150-J150)/J150,"")</calculatedColumnFormula>
    </tableColumn>
    <tableColumn id="12" xr3:uid="{D7034EFA-2784-4C8C-BDD8-1D2B4D027015}" name="Реальная доходность, %" dataDxfId="117">
      <calculatedColumnFormula>IFERROR((1+K150)/VLOOKUP(B150,'Исходные данные'!$A$4:$G$24,6,FALSE)-1,"")</calculatedColumnFormula>
    </tableColumn>
    <tableColumn id="13" xr3:uid="{55710FF0-E992-401C-BF94-D314B2DDF9BF}" name="Среднегодовой рост" dataDxfId="116" dataCellStyle="Процентный">
      <calculatedColumnFormula>IFERROR((I150/J150)^(1/(B150-$B$150+1))-1,"")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AE09E3-7F11-421E-86A7-FBDF2AB90D2A}" name="Таблица11" displayName="Таблица11" ref="A125:M146" totalsRowShown="0" headerRowDxfId="115" dataDxfId="113" headerRowBorderDxfId="114" tableBorderDxfId="112" totalsRowBorderDxfId="111">
  <autoFilter ref="A125:M146" xr:uid="{FCAE09E3-7F11-421E-86A7-FBDF2AB90D2A}"/>
  <tableColumns count="13">
    <tableColumn id="1" xr3:uid="{82381356-EEE1-4E08-979E-1E37B9CDBCC3}" name="Стратегия" dataDxfId="110"/>
    <tableColumn id="2" xr3:uid="{240EB0A2-8652-4C5F-9730-2B18644DC811}" name="Год" dataDxfId="109">
      <calculatedColumnFormula>'Исходные данные'!$A4</calculatedColumnFormula>
    </tableColumn>
    <tableColumn id="3" xr3:uid="{942C5D57-BC0E-4BBA-9A13-67B81BEAF839}" name="Взнос" dataDxfId="108" dataCellStyle="Денежный">
      <calculatedColumnFormula>IF(AND(Таблица11[[#This Row],[Год]]&gt;=Настройки!$B$4, Таблица11[[#This Row],[Год]]&lt;=Настройки!$B$5),IFERROR(VLOOKUP(Таблица11[[#This Row],[Год]],Данные[#All],9,FALSE),0),0)</calculatedColumnFormula>
    </tableColumn>
    <tableColumn id="4" xr3:uid="{49C13E70-5955-46F9-813E-A2CEE4909B37}" name="Доля Акций" dataDxfId="107">
      <calculatedColumnFormula>VLOOKUP($A$126,Настройки!$L$2:$N$13,2,FALSE)</calculatedColumnFormula>
    </tableColumn>
    <tableColumn id="5" xr3:uid="{D72F6902-220E-4BFF-A029-00BD7138AC67}" name="Доля Облигаций" dataDxfId="106">
      <calculatedColumnFormula>VLOOKUP($A$126,Настройки!$L$2:$N$13,3,FALSE)</calculatedColumnFormula>
    </tableColumn>
    <tableColumn id="6" xr3:uid="{A6BA54FA-E252-4D3E-9E94-2FD0FC12B7F9}" name="Доходность стратегии за год" dataDxfId="105" dataCellStyle="Процентный">
      <calculatedColumnFormula>D126*VLOOKUP(B126,'Исходные данные'!$A$4:$G$24,2,FALSE)+E126*VLOOKUP(B126,'Исходные данные'!$A$4:$G$24,3,FALSE)+(1-D126-E126)*VLOOKUP(B126,'Исходные данные'!$A$4:$G$24,4,FALSE)</calculatedColumnFormula>
    </tableColumn>
    <tableColumn id="7" xr3:uid="{207D9504-167B-49D2-B715-6B0E0C2C4A5B}" name="Портфель на НАЧАЛО года" dataDxfId="104" dataCellStyle="Денежный">
      <calculatedColumnFormula>I125</calculatedColumnFormula>
    </tableColumn>
    <tableColumn id="8" xr3:uid="{6D09F5CA-71B0-4775-B9B8-A9EC9C06DF8C}" name="Доход" dataDxfId="103">
      <calculatedColumnFormula>(G126+C126)*F126</calculatedColumnFormula>
    </tableColumn>
    <tableColumn id="9" xr3:uid="{D28C4FFD-3A19-4BD1-8B9A-58CB05581415}" name="Итоговый портфель, ₽" dataDxfId="102">
      <calculatedColumnFormula>G126+C126+H126</calculatedColumnFormula>
    </tableColumn>
    <tableColumn id="10" xr3:uid="{435D054C-B87D-4964-A691-8C1284EBCC59}" name="Вложено всего, ₽" dataDxfId="101">
      <calculatedColumnFormula>J125+C126</calculatedColumnFormula>
    </tableColumn>
    <tableColumn id="11" xr3:uid="{74407F15-82F2-4364-A040-3D422D1D4FD2}" name="Номинальная доходность" dataDxfId="100">
      <calculatedColumnFormula>IFERROR((I126-J126)/J126,"")</calculatedColumnFormula>
    </tableColumn>
    <tableColumn id="12" xr3:uid="{91DBDF0E-E9CD-4231-80BC-E2EB9CF38256}" name="Реальная доходность, %" dataDxfId="99">
      <calculatedColumnFormula>IFERROR((1+K126)/VLOOKUP(B126,'Исходные данные'!$A$4:$G$24,6,FALSE)-1,"")</calculatedColumnFormula>
    </tableColumn>
    <tableColumn id="13" xr3:uid="{459278A0-8C0E-4FC8-BCF0-C7D851AC033E}" name="Среднегодовой рост" dataDxfId="98" dataCellStyle="Процентный">
      <calculatedColumnFormula>IFERROR((I126/J126)^(1/(B126-$B$126+1))-1,"")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051BCA-F227-45DF-BCD4-8C863CE2BB5C}" name="Таблица12" displayName="Таблица12" ref="A101:M122" totalsRowShown="0" headerRowDxfId="97" dataDxfId="95" headerRowBorderDxfId="96" tableBorderDxfId="94" totalsRowBorderDxfId="93">
  <autoFilter ref="A101:M122" xr:uid="{58051BCA-F227-45DF-BCD4-8C863CE2BB5C}"/>
  <tableColumns count="13">
    <tableColumn id="1" xr3:uid="{78FB6A1F-A0DE-4171-A7EC-77486907638A}" name="Стратегия" dataDxfId="92"/>
    <tableColumn id="2" xr3:uid="{FCCDD782-C79A-475C-ABEB-54EBDC03DE74}" name="Год" dataDxfId="91">
      <calculatedColumnFormula>'Исходные данные'!$A4</calculatedColumnFormula>
    </tableColumn>
    <tableColumn id="3" xr3:uid="{84B1747C-7B89-402A-B6F5-BC1BC424CD5C}" name="Взнос" dataDxfId="90" dataCellStyle="Денежный">
      <calculatedColumnFormula>IF(AND(Таблица12[[#This Row],[Год]]&gt;=Настройки!$B$4, Таблица12[[#This Row],[Год]]&lt;=Настройки!$B$5),IFERROR(VLOOKUP(Таблица12[[#This Row],[Год]],Данные[#All],9,FALSE),0),0)</calculatedColumnFormula>
    </tableColumn>
    <tableColumn id="4" xr3:uid="{FA18184B-E7A3-43E4-B9B0-14FF79D4F406}" name="Доля Акций" dataDxfId="89">
      <calculatedColumnFormula>VLOOKUP($A$102,Настройки!$L$2:$N$13,2,FALSE)</calculatedColumnFormula>
    </tableColumn>
    <tableColumn id="5" xr3:uid="{88DBA976-559C-4B27-9CE0-A8FD35838452}" name="Доля Облигаций" dataDxfId="88">
      <calculatedColumnFormula>VLOOKUP($A$102,Настройки!$L$2:$N$13,3,FALSE)</calculatedColumnFormula>
    </tableColumn>
    <tableColumn id="6" xr3:uid="{2D732F8B-DCE5-4F05-9CD0-A311ABB5F56F}" name="Доходность стратегии за год" dataDxfId="87" dataCellStyle="Процентный">
      <calculatedColumnFormula>D102*VLOOKUP(B102,'Исходные данные'!$A$4:$G$24,2,FALSE)+E102*VLOOKUP(B102,'Исходные данные'!$A$4:$G$24,3,FALSE)+(1-D102-E102)*VLOOKUP(B102,'Исходные данные'!$A$4:$G$24,4,FALSE)</calculatedColumnFormula>
    </tableColumn>
    <tableColumn id="7" xr3:uid="{FAA91EAE-76F4-411B-9DE0-2F05E6C5CE7B}" name="Портфель на НАЧАЛО года" dataDxfId="86" dataCellStyle="Денежный">
      <calculatedColumnFormula>I101</calculatedColumnFormula>
    </tableColumn>
    <tableColumn id="8" xr3:uid="{0A32256B-5EF6-44BE-86D0-E5173F56A5C3}" name="Доход" dataDxfId="85">
      <calculatedColumnFormula>(G102+C102)*F102</calculatedColumnFormula>
    </tableColumn>
    <tableColumn id="9" xr3:uid="{BCFF3DFD-8345-43E2-983B-A3C7F956326C}" name="Итоговый портфель, ₽" dataDxfId="84">
      <calculatedColumnFormula>G102+C102+H102</calculatedColumnFormula>
    </tableColumn>
    <tableColumn id="10" xr3:uid="{79986D8F-2961-4FBF-8207-DC2196B99F6E}" name="Вложено всего, ₽" dataDxfId="83">
      <calculatedColumnFormula>J101+C102</calculatedColumnFormula>
    </tableColumn>
    <tableColumn id="11" xr3:uid="{9F2A47F9-598B-4508-8C7B-7E3D2A627A4A}" name="Номинальная доходность" dataDxfId="82">
      <calculatedColumnFormula>IFERROR((I102-J102)/J102,"")</calculatedColumnFormula>
    </tableColumn>
    <tableColumn id="12" xr3:uid="{8A18BDEC-2A80-4970-9FAE-0CBA7D97A49F}" name="Реальная доходность, %" dataDxfId="81">
      <calculatedColumnFormula>IFERROR((1+K102)/VLOOKUP(B102,'Исходные данные'!$A$4:$G$24,6,FALSE)-1,"")</calculatedColumnFormula>
    </tableColumn>
    <tableColumn id="13" xr3:uid="{4D1B952E-FFD9-4652-8B00-1B822512FFB0}" name="Среднегодовой рост" dataDxfId="80" dataCellStyle="Процентный">
      <calculatedColumnFormula>IFERROR((I102/J102)^(1/(B102-$B$102+1))-1,"")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504B6C-8104-4EFB-9DD2-3E19BF7BBD89}" name="Таблица13" displayName="Таблица13" ref="A77:M98" totalsRowShown="0" headerRowDxfId="79" dataDxfId="77" headerRowBorderDxfId="78" tableBorderDxfId="76" totalsRowBorderDxfId="75">
  <autoFilter ref="A77:M98" xr:uid="{9D504B6C-8104-4EFB-9DD2-3E19BF7BBD89}"/>
  <tableColumns count="13">
    <tableColumn id="1" xr3:uid="{375446BC-9F8E-4B4F-B897-DEC02519A220}" name="Стратегия" dataDxfId="74"/>
    <tableColumn id="2" xr3:uid="{59A4BBC4-2C12-43D8-91D7-84902BF2BEC4}" name="Год" dataDxfId="73">
      <calculatedColumnFormula>'Исходные данные'!$A4</calculatedColumnFormula>
    </tableColumn>
    <tableColumn id="3" xr3:uid="{0DB89BED-F2BF-45D9-92E8-A9EDB0CFF7BC}" name="Взнос" dataDxfId="72" dataCellStyle="Денежный">
      <calculatedColumnFormula>IF(AND(Таблица13[[#This Row],[Год]]&gt;=Настройки!$B$4, Таблица13[[#This Row],[Год]]&lt;=Настройки!$B$5),IFERROR(VLOOKUP(Таблица13[[#This Row],[Год]],Данные[#All],9,FALSE),0),0)</calculatedColumnFormula>
    </tableColumn>
    <tableColumn id="4" xr3:uid="{4400E478-4C15-4DDF-A130-114018E734D7}" name="Доля Акций" dataDxfId="71">
      <calculatedColumnFormula>VLOOKUP($A$78,Настройки!$L$2:$N$13,2,FALSE)</calculatedColumnFormula>
    </tableColumn>
    <tableColumn id="5" xr3:uid="{EB8434DD-D5DC-4923-8CDE-14C6DFC6DE59}" name="Доля Облигаций" dataDxfId="70">
      <calculatedColumnFormula>VLOOKUP($A$78,Настройки!$L$2:$N$13,3,FALSE)</calculatedColumnFormula>
    </tableColumn>
    <tableColumn id="6" xr3:uid="{A2384218-35FD-426D-8851-987B8F74B69E}" name="Доходность стратегии за год" dataDxfId="69" dataCellStyle="Процентный">
      <calculatedColumnFormula>D78*VLOOKUP(B78,'Исходные данные'!$A$4:$G$24,2,FALSE)+E78*VLOOKUP(B78,'Исходные данные'!$A$4:$G$24,3,FALSE)+(1-D78-E78)*VLOOKUP(B78,'Исходные данные'!$A$4:$G$24,4,FALSE)</calculatedColumnFormula>
    </tableColumn>
    <tableColumn id="7" xr3:uid="{57C7324D-E3E8-41C1-B62B-5893B3A84C5A}" name="Портфель на НАЧАЛО года" dataDxfId="68" dataCellStyle="Денежный">
      <calculatedColumnFormula>I77</calculatedColumnFormula>
    </tableColumn>
    <tableColumn id="8" xr3:uid="{78235B84-4546-45DF-B3AD-D68BEFCD0503}" name="Доход" dataDxfId="67">
      <calculatedColumnFormula>(G78+C78)*F78</calculatedColumnFormula>
    </tableColumn>
    <tableColumn id="9" xr3:uid="{F3D5B0E0-1B09-4FC4-9D6C-326651E9C910}" name="Итоговый портфель, ₽" dataDxfId="66">
      <calculatedColumnFormula>G78+C78+H78</calculatedColumnFormula>
    </tableColumn>
    <tableColumn id="10" xr3:uid="{A048E43C-E0CD-468C-AA09-D02D5FF2F5D2}" name="Вложено всего, ₽" dataDxfId="65">
      <calculatedColumnFormula>J77+C78</calculatedColumnFormula>
    </tableColumn>
    <tableColumn id="11" xr3:uid="{31356DCB-750A-4E62-8826-6658BD90F3DB}" name="Номинальная доходность" dataDxfId="64">
      <calculatedColumnFormula>IFERROR((I78-J78)/J78,"")</calculatedColumnFormula>
    </tableColumn>
    <tableColumn id="12" xr3:uid="{FA72532B-2C14-4048-A376-EBACF85AC65A}" name="Реальная доходность, %" dataDxfId="63">
      <calculatedColumnFormula>IFERROR((1+K78)/VLOOKUP(B78,'Исходные данные'!$A$4:$G$24,6,FALSE)-1,"")</calculatedColumnFormula>
    </tableColumn>
    <tableColumn id="13" xr3:uid="{435B0B69-AEF6-48BA-BA2B-C8613140BC65}" name="Среднегодовой рост" dataDxfId="62" dataCellStyle="Процентный">
      <calculatedColumnFormula>IFERROR((I78/J78)^(1/(B78-$B$78+1))-1,"")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231AF5-AA4B-4CFB-9E9B-F469224E0657}" name="Таблица14" displayName="Таблица14" ref="A53:M74" totalsRowShown="0" headerRowDxfId="61" dataDxfId="59" headerRowBorderDxfId="60" tableBorderDxfId="58" totalsRowBorderDxfId="57">
  <autoFilter ref="A53:M74" xr:uid="{2C231AF5-AA4B-4CFB-9E9B-F469224E0657}"/>
  <tableColumns count="13">
    <tableColumn id="1" xr3:uid="{6D0A8EF2-0402-42B6-B55F-8C96F9F05BE0}" name="Стратегия" dataDxfId="56"/>
    <tableColumn id="2" xr3:uid="{0A1D86CA-BEA9-4214-AC6C-A6DABFFF4740}" name="Год" dataDxfId="55">
      <calculatedColumnFormula>'Исходные данные'!$A4</calculatedColumnFormula>
    </tableColumn>
    <tableColumn id="3" xr3:uid="{D3A9384E-43CD-46FC-AC58-E16535630595}" name="Взнос" dataDxfId="54" dataCellStyle="Денежный">
      <calculatedColumnFormula>IF(AND(Таблица14[[#This Row],[Год]]&gt;=Настройки!$B$4, Таблица14[[#This Row],[Год]]&lt;=Настройки!$B$5),IFERROR(VLOOKUP(Таблица14[[#This Row],[Год]],Данные[#All],9,FALSE),0),0)</calculatedColumnFormula>
    </tableColumn>
    <tableColumn id="4" xr3:uid="{4F7061A0-56A8-4724-97BA-CBBF69761D19}" name="Доля Акций" dataDxfId="53">
      <calculatedColumnFormula>VLOOKUP($A$54,Настройки!$L$2:$N$13,2,FALSE)</calculatedColumnFormula>
    </tableColumn>
    <tableColumn id="5" xr3:uid="{9125717F-2C5F-40A7-9DF8-0AD354965D65}" name="Доля Облигаций" dataDxfId="52">
      <calculatedColumnFormula>VLOOKUP($A$54,Настройки!$L$2:$N$13,3,FALSE)</calculatedColumnFormula>
    </tableColumn>
    <tableColumn id="6" xr3:uid="{342A24A3-7C08-47D0-9920-06A917C8C6F4}" name="Доходность стратегии за год" dataDxfId="51" dataCellStyle="Процентный">
      <calculatedColumnFormula>D54*VLOOKUP(B54,'Исходные данные'!$A$4:$G$24,2,FALSE)+E54*VLOOKUP(B54,'Исходные данные'!$A$4:$G$24,3,FALSE)+(1-D54-E54)*VLOOKUP(B54,'Исходные данные'!$A$4:$G$24,4,FALSE)</calculatedColumnFormula>
    </tableColumn>
    <tableColumn id="7" xr3:uid="{5FF0F812-A2EB-4610-A14D-5E43375BB534}" name="Портфель на НАЧАЛО года" dataDxfId="50" dataCellStyle="Денежный">
      <calculatedColumnFormula>I53</calculatedColumnFormula>
    </tableColumn>
    <tableColumn id="8" xr3:uid="{39E5C058-7EA5-4E48-93F4-A5BC08ABA0DA}" name="Доход" dataDxfId="49">
      <calculatedColumnFormula>(G54+C54)*F54</calculatedColumnFormula>
    </tableColumn>
    <tableColumn id="9" xr3:uid="{735B724D-BD74-4A84-A9B4-AF7E36B1DA6E}" name="Итоговый портфель, ₽" dataDxfId="48">
      <calculatedColumnFormula>G54+C54+H54</calculatedColumnFormula>
    </tableColumn>
    <tableColumn id="10" xr3:uid="{43A2E9CF-FE1B-4A83-A5D6-1785C8BD4EAD}" name="Вложено всего, ₽" dataDxfId="47">
      <calculatedColumnFormula>J53+C54</calculatedColumnFormula>
    </tableColumn>
    <tableColumn id="11" xr3:uid="{264129A9-8715-49BC-A210-92417228F0CD}" name="Номинальная доходность" dataDxfId="46">
      <calculatedColumnFormula>IFERROR((I54-J54)/J54,"")</calculatedColumnFormula>
    </tableColumn>
    <tableColumn id="12" xr3:uid="{DF36DFB6-86E4-44EA-8AEA-9E277C43E810}" name="Реальная доходность, %" dataDxfId="45">
      <calculatedColumnFormula>IFERROR((1+K54)/VLOOKUP(B54,'Исходные данные'!$A$4:$G$24,6,FALSE)-1,"")</calculatedColumnFormula>
    </tableColumn>
    <tableColumn id="13" xr3:uid="{0030C102-8ECC-4F95-A6F7-0BBFA36EAD99}" name="Среднегодовой рост" dataDxfId="44" dataCellStyle="Процентный">
      <calculatedColumnFormula>IFERROR((I54/J54)^(1/(B54-$B$54+1))-1,"")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BA909C-A085-4466-BDE1-11024DBEAE89}" name="Таблица15" displayName="Таблица15" ref="A29:M50" totalsRowShown="0" headerRowDxfId="43" dataDxfId="41" headerRowBorderDxfId="42" tableBorderDxfId="40" totalsRowBorderDxfId="39">
  <autoFilter ref="A29:M50" xr:uid="{81BA909C-A085-4466-BDE1-11024DBEAE89}"/>
  <tableColumns count="13">
    <tableColumn id="1" xr3:uid="{C4C4380C-12D7-4BC4-8520-B9E0D9311D0C}" name="Стратегия" dataDxfId="38"/>
    <tableColumn id="2" xr3:uid="{7DAC058F-4725-4E62-B674-CA8FE192BF74}" name="Год" dataDxfId="37">
      <calculatedColumnFormula>'Исходные данные'!$A4</calculatedColumnFormula>
    </tableColumn>
    <tableColumn id="3" xr3:uid="{077FF724-FA60-4093-A66F-4A48C785A0AF}" name="Взнос" dataDxfId="36" dataCellStyle="Денежный">
      <calculatedColumnFormula>IF(AND(Таблица15[[#This Row],[Год]]&gt;=Настройки!$B$4, Таблица15[[#This Row],[Год]]&lt;=Настройки!$B$5),IFERROR(VLOOKUP(Таблица15[[#This Row],[Год]],Данные[#All],9,FALSE),0),0)</calculatedColumnFormula>
    </tableColumn>
    <tableColumn id="4" xr3:uid="{795E0C67-26D0-4003-968B-A64A9F8197DA}" name="Доля Акций" dataDxfId="35">
      <calculatedColumnFormula>VLOOKUP($A$30,Настройки!$L$2:$N$13,2,FALSE)</calculatedColumnFormula>
    </tableColumn>
    <tableColumn id="5" xr3:uid="{2BD87A1A-1A11-4525-8B08-AC7692F549C3}" name="Доля Облигаций" dataDxfId="34">
      <calculatedColumnFormula>VLOOKUP($A$30,Настройки!$L$2:$N$13,3,FALSE)</calculatedColumnFormula>
    </tableColumn>
    <tableColumn id="6" xr3:uid="{712661D7-3149-427A-BF47-12EDE6AA811A}" name="Доходность стратегии за год" dataDxfId="33" dataCellStyle="Процентный">
      <calculatedColumnFormula>D30*VLOOKUP(B30,'Исходные данные'!$A$4:$G$24,2,FALSE)+E30*VLOOKUP(B30,'Исходные данные'!$A$4:$G$24,3,FALSE)+(1-D30-E30)*VLOOKUP(B30,'Исходные данные'!$A$4:$G$24,4,FALSE)</calculatedColumnFormula>
    </tableColumn>
    <tableColumn id="7" xr3:uid="{8126C7E4-BE8E-45EA-8FF1-4916E2121B6F}" name="Портфель на НАЧАЛО года" dataDxfId="32" dataCellStyle="Денежный">
      <calculatedColumnFormula>I29</calculatedColumnFormula>
    </tableColumn>
    <tableColumn id="8" xr3:uid="{D0C2427C-7056-4099-9BFC-61C6105ACB63}" name="Доход" dataDxfId="31">
      <calculatedColumnFormula>(G30+C30)*F30</calculatedColumnFormula>
    </tableColumn>
    <tableColumn id="9" xr3:uid="{6F5BFDB1-78DF-4929-961C-AC62D41A5CFF}" name="Итоговый портфель, ₽" dataDxfId="30">
      <calculatedColumnFormula>G30+C30+H30</calculatedColumnFormula>
    </tableColumn>
    <tableColumn id="10" xr3:uid="{FF54C913-D6D8-4BFA-B1C5-D6A589ADA066}" name="Вложено всего, ₽" dataDxfId="29">
      <calculatedColumnFormula>J29+C30</calculatedColumnFormula>
    </tableColumn>
    <tableColumn id="11" xr3:uid="{381684F7-A9A5-47F0-96DB-1FDE04DDE18B}" name="Номинальная доходность" dataDxfId="28">
      <calculatedColumnFormula>IFERROR((I30-J30)/J30,"")</calculatedColumnFormula>
    </tableColumn>
    <tableColumn id="12" xr3:uid="{E4292ABE-436A-49B4-B47C-D80F0FF9ACFC}" name="Реальная доходность, %" dataDxfId="27">
      <calculatedColumnFormula>IFERROR((1+K30)/VLOOKUP(B30,'Исходные данные'!$A$4:$G$24,6,FALSE)-1,"")</calculatedColumnFormula>
    </tableColumn>
    <tableColumn id="13" xr3:uid="{CF6049CB-5C7E-4F6C-93DE-1829A9A06972}" name="Среднегодовой рост" dataDxfId="26" dataCellStyle="Процентный">
      <calculatedColumnFormula>IFERROR((I30/J30)^(1/(B30-$B$30+1))-1,"")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04FC56-1941-4EB7-B12D-917859943AC9}" name="Таблица16" displayName="Таблица16" ref="A5:M26" totalsRowShown="0" headerRowDxfId="25" dataDxfId="23" headerRowBorderDxfId="24" tableBorderDxfId="22" totalsRowBorderDxfId="21">
  <autoFilter ref="A5:M26" xr:uid="{3804FC56-1941-4EB7-B12D-917859943AC9}"/>
  <tableColumns count="13">
    <tableColumn id="1" xr3:uid="{3BDC6850-D66C-43E6-81FB-F03B49A46252}" name="Стратегия" dataDxfId="20"/>
    <tableColumn id="2" xr3:uid="{8465474E-CB84-4B23-8E96-9292B00623B3}" name="Год" dataDxfId="19">
      <calculatedColumnFormula>'Исходные данные'!A4</calculatedColumnFormula>
    </tableColumn>
    <tableColumn id="3" xr3:uid="{E4D300CE-4C98-45C2-961E-0A0A74878F7E}" name="Взнос" dataDxfId="18" dataCellStyle="Денежный">
      <calculatedColumnFormula>IF(AND(Таблица16[[#This Row],[Год]]&gt;=Настройки!$B$4, Таблица16[[#This Row],[Год]]&lt;=Настройки!$B$5),IFERROR(VLOOKUP(Таблица16[[#This Row],[Год]],Данные[#All],9,FALSE),0),0)</calculatedColumnFormula>
    </tableColumn>
    <tableColumn id="4" xr3:uid="{91924668-4675-4832-9305-55D27AC59867}" name="Доля Акций" dataDxfId="17">
      <calculatedColumnFormula>VLOOKUP($A$6,Настройки!$L$2:$N$13,2,FALSE)</calculatedColumnFormula>
    </tableColumn>
    <tableColumn id="5" xr3:uid="{05F203AB-C025-4751-8820-AB922466DF1C}" name="Доля Облигаций" dataDxfId="16">
      <calculatedColumnFormula>VLOOKUP($A$6,Настройки!$L$2:$N$13,3,FALSE)</calculatedColumnFormula>
    </tableColumn>
    <tableColumn id="6" xr3:uid="{CBEAD11F-8249-4B74-8665-B5495429774B}" name="Доходность стратегии за год" dataDxfId="15" dataCellStyle="Процентный">
      <calculatedColumnFormula>D6*VLOOKUP(B6,'Исходные данные'!$A$4:$G$24,2,FALSE)+E6*VLOOKUP(B6,'Исходные данные'!$A$4:$G$24,3,FALSE)+(1-D6-E6)*VLOOKUP(B6,'Исходные данные'!$A$4:$G$24,4,FALSE)</calculatedColumnFormula>
    </tableColumn>
    <tableColumn id="7" xr3:uid="{04DD5DCF-5B45-470B-A7E6-0FED4D21571F}" name="Портфель на НАЧАЛО года" dataDxfId="14" dataCellStyle="Денежный">
      <calculatedColumnFormula>I5</calculatedColumnFormula>
    </tableColumn>
    <tableColumn id="8" xr3:uid="{530944A8-1CE5-4597-A62E-EC6A6DBD16C9}" name="Доход" dataDxfId="13">
      <calculatedColumnFormula>(G6+C6)*F6</calculatedColumnFormula>
    </tableColumn>
    <tableColumn id="9" xr3:uid="{09E59196-EB6A-4BD1-AAD0-9B6DAE04CF11}" name="Итоговый портфель, ₽" dataDxfId="12">
      <calculatedColumnFormula>G6+C6+H6</calculatedColumnFormula>
    </tableColumn>
    <tableColumn id="10" xr3:uid="{F3F0F86A-6496-458E-9538-4B2E87513FC2}" name="Вложено всего, ₽" dataDxfId="11">
      <calculatedColumnFormula>J5+C6</calculatedColumnFormula>
    </tableColumn>
    <tableColumn id="11" xr3:uid="{DDA875C3-EAC3-41DE-90B7-AF81B92833A3}" name="Номинальная доходность" dataDxfId="10">
      <calculatedColumnFormula>IFERROR((I6-J6)/J6,"")</calculatedColumnFormula>
    </tableColumn>
    <tableColumn id="12" xr3:uid="{D47A90E9-17EA-4E62-B305-C9154090444C}" name="Реальная доходность, %" dataDxfId="9">
      <calculatedColumnFormula>IFERROR((1+K6)/VLOOKUP(B6,'Исходные данные'!$A$4:$G$24,6,FALSE)-1,"")</calculatedColumnFormula>
    </tableColumn>
    <tableColumn id="13" xr3:uid="{7A5DF6E3-BFE4-4374-A0B5-0A49429283FB}" name="Среднегодовой рост" dataDxfId="8" dataCellStyle="Процентный">
      <calculatedColumnFormula>IFERROR((I6/J6)^(1/(B6-$B$6+1))-1,"")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D27CE-F632-4D68-8416-1EA2668D0F43}" name="Таблица2" displayName="Таблица2" ref="A6:H18" totalsRowShown="0">
  <autoFilter ref="A6:H18" xr:uid="{75ED27CE-F632-4D68-8416-1EA2668D0F43}"/>
  <tableColumns count="8">
    <tableColumn id="1" xr3:uid="{80B0A750-67F8-4782-BC92-FE9866C4ED06}" name="Стратегия"/>
    <tableColumn id="2" xr3:uid="{7E1B4778-51C9-4AAA-BA8F-837F55D9AB99}" name="Вложено всего, ₽" dataCellStyle="Денежный">
      <calculatedColumnFormula>'Расчёт всех стратегий'!J26</calculatedColumnFormula>
    </tableColumn>
    <tableColumn id="3" xr3:uid="{FE3621EB-9278-4227-B112-4D8F092A155D}" name="Итоговый портфель, ₽" dataCellStyle="Денежный">
      <calculatedColumnFormula>'Расчёт всех стратегий'!I26</calculatedColumnFormula>
    </tableColumn>
    <tableColumn id="4" xr3:uid="{EAE452D2-7382-4E68-B64D-6DFAAF6C178E}" name="Прибыль, ₽" dataCellStyle="Денежный">
      <calculatedColumnFormula>Таблица2[[#This Row],[Итоговый портфель, ₽]] - Таблица2[[#This Row],[Вложено всего, ₽]]</calculatedColumnFormula>
    </tableColumn>
    <tableColumn id="5" xr3:uid="{83FEAE0A-8B88-4A30-90F2-DBE3C25AAB81}" name="Номинальная доходность, %" dataDxfId="7" dataCellStyle="Процентный">
      <calculatedColumnFormula>Таблица2[[#This Row],[Прибыль, ₽]] / Таблица2[[#This Row],[Вложено всего, ₽]]</calculatedColumnFormula>
    </tableColumn>
    <tableColumn id="6" xr3:uid="{08B87F94-C865-4910-BB77-07C894443A7D}" name="Реальная доходность, %" dataDxfId="6" dataCellStyle="Процентный">
      <calculatedColumnFormula>Таблица2[[#This Row],[Номинальная доходность, %]]-'Исходные данные'!F24</calculatedColumnFormula>
    </tableColumn>
    <tableColumn id="7" xr3:uid="{686C64E6-728C-494B-A870-FF84601310AA}" name="Среднегодовой рост, %" dataDxfId="5" dataCellStyle="Процентный">
      <calculatedColumnFormula>( Таблица2[[#This Row],[Итоговый портфель, ₽]] / Таблица2[[#This Row],[Вложено всего, ₽]] ) ^ (1 / 21) - 1</calculatedColumnFormula>
    </tableColumn>
    <tableColumn id="8" xr3:uid="{B2A68288-3577-4E03-8E5E-0948E88D43AB}" name="Тренды (2004-2024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rosstat.gov.ru/statistics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tabColor theme="4"/>
  </sheetPr>
  <dimension ref="A1:N30"/>
  <sheetViews>
    <sheetView workbookViewId="0">
      <selection activeCell="H10" sqref="H10"/>
    </sheetView>
  </sheetViews>
  <sheetFormatPr defaultRowHeight="15" x14ac:dyDescent="0.25"/>
  <cols>
    <col min="1" max="1" width="32.7109375" bestFit="1" customWidth="1"/>
    <col min="2" max="2" width="22.7109375" bestFit="1" customWidth="1"/>
    <col min="3" max="3" width="16.42578125" customWidth="1"/>
    <col min="8" max="8" width="12.85546875" bestFit="1" customWidth="1"/>
    <col min="12" max="12" width="16.140625" bestFit="1" customWidth="1"/>
    <col min="13" max="13" width="10" bestFit="1" customWidth="1"/>
    <col min="14" max="14" width="14.42578125" bestFit="1" customWidth="1"/>
  </cols>
  <sheetData>
    <row r="1" spans="1:14" ht="21" x14ac:dyDescent="0.35">
      <c r="A1" s="74" t="s">
        <v>9</v>
      </c>
      <c r="B1" s="74"/>
      <c r="H1" t="s">
        <v>39</v>
      </c>
      <c r="L1" t="s">
        <v>50</v>
      </c>
      <c r="M1" t="s">
        <v>51</v>
      </c>
      <c r="N1" t="s">
        <v>52</v>
      </c>
    </row>
    <row r="2" spans="1:14" x14ac:dyDescent="0.25">
      <c r="A2" t="s">
        <v>0</v>
      </c>
      <c r="B2" s="1">
        <v>115000</v>
      </c>
      <c r="H2" t="s">
        <v>40</v>
      </c>
      <c r="L2" t="s">
        <v>7</v>
      </c>
      <c r="M2">
        <v>1</v>
      </c>
      <c r="N2">
        <v>0</v>
      </c>
    </row>
    <row r="3" spans="1:14" x14ac:dyDescent="0.25">
      <c r="A3" s="24" t="s">
        <v>1</v>
      </c>
      <c r="B3" s="1" t="s">
        <v>4</v>
      </c>
      <c r="L3" t="s">
        <v>8</v>
      </c>
      <c r="M3">
        <v>0</v>
      </c>
      <c r="N3">
        <v>1</v>
      </c>
    </row>
    <row r="4" spans="1:14" x14ac:dyDescent="0.25">
      <c r="A4" t="s">
        <v>2</v>
      </c>
      <c r="B4" s="1">
        <v>2004</v>
      </c>
      <c r="L4" t="s">
        <v>6</v>
      </c>
      <c r="M4">
        <v>0</v>
      </c>
      <c r="N4">
        <v>0</v>
      </c>
    </row>
    <row r="5" spans="1:14" x14ac:dyDescent="0.25">
      <c r="A5" t="s">
        <v>3</v>
      </c>
      <c r="B5" s="1">
        <v>2024</v>
      </c>
      <c r="L5" t="s">
        <v>41</v>
      </c>
      <c r="M5">
        <v>0.5</v>
      </c>
      <c r="N5">
        <v>0.5</v>
      </c>
    </row>
    <row r="6" spans="1:14" x14ac:dyDescent="0.25">
      <c r="A6" t="s">
        <v>34</v>
      </c>
      <c r="B6" s="1" t="s">
        <v>67</v>
      </c>
      <c r="L6" t="s">
        <v>42</v>
      </c>
      <c r="M6">
        <v>0.1</v>
      </c>
      <c r="N6">
        <v>0.9</v>
      </c>
    </row>
    <row r="7" spans="1:14" x14ac:dyDescent="0.25">
      <c r="A7" t="s">
        <v>5</v>
      </c>
      <c r="B7" s="57" t="s">
        <v>7</v>
      </c>
      <c r="L7" t="s">
        <v>43</v>
      </c>
      <c r="M7">
        <v>0.2</v>
      </c>
      <c r="N7">
        <v>0.8</v>
      </c>
    </row>
    <row r="8" spans="1:14" x14ac:dyDescent="0.25">
      <c r="A8" s="24" t="s">
        <v>95</v>
      </c>
      <c r="B8" s="55" t="s">
        <v>10</v>
      </c>
      <c r="C8" s="56" t="s">
        <v>93</v>
      </c>
      <c r="L8" t="s">
        <v>44</v>
      </c>
      <c r="M8">
        <v>0.3</v>
      </c>
      <c r="N8">
        <v>0.7</v>
      </c>
    </row>
    <row r="9" spans="1:14" x14ac:dyDescent="0.25">
      <c r="B9">
        <v>2004</v>
      </c>
      <c r="C9" s="26">
        <v>0</v>
      </c>
      <c r="L9" t="s">
        <v>45</v>
      </c>
      <c r="M9">
        <v>0.4</v>
      </c>
      <c r="N9">
        <v>0.6</v>
      </c>
    </row>
    <row r="10" spans="1:14" x14ac:dyDescent="0.25">
      <c r="B10">
        <v>2005</v>
      </c>
      <c r="C10" s="26">
        <v>0</v>
      </c>
      <c r="L10" t="s">
        <v>46</v>
      </c>
      <c r="M10">
        <v>0.6</v>
      </c>
      <c r="N10">
        <v>0.4</v>
      </c>
    </row>
    <row r="11" spans="1:14" x14ac:dyDescent="0.25">
      <c r="B11">
        <v>2006</v>
      </c>
      <c r="C11" s="26">
        <v>0</v>
      </c>
      <c r="L11" t="s">
        <v>47</v>
      </c>
      <c r="M11">
        <v>0.7</v>
      </c>
      <c r="N11">
        <v>0.3</v>
      </c>
    </row>
    <row r="12" spans="1:14" x14ac:dyDescent="0.25">
      <c r="B12">
        <v>2007</v>
      </c>
      <c r="C12" s="26">
        <v>0</v>
      </c>
      <c r="L12" t="s">
        <v>48</v>
      </c>
      <c r="M12">
        <v>0.8</v>
      </c>
      <c r="N12">
        <v>0.2</v>
      </c>
    </row>
    <row r="13" spans="1:14" x14ac:dyDescent="0.25">
      <c r="B13">
        <v>2008</v>
      </c>
      <c r="C13" s="26">
        <v>0</v>
      </c>
      <c r="L13" t="s">
        <v>49</v>
      </c>
      <c r="M13">
        <v>0.9</v>
      </c>
      <c r="N13">
        <v>0.1</v>
      </c>
    </row>
    <row r="14" spans="1:14" x14ac:dyDescent="0.25">
      <c r="B14">
        <v>2009</v>
      </c>
      <c r="C14" s="26">
        <v>0</v>
      </c>
    </row>
    <row r="15" spans="1:14" x14ac:dyDescent="0.25">
      <c r="B15">
        <v>2010</v>
      </c>
      <c r="C15" s="26">
        <v>0</v>
      </c>
    </row>
    <row r="16" spans="1:14" x14ac:dyDescent="0.25">
      <c r="B16">
        <v>2011</v>
      </c>
      <c r="C16" s="26">
        <v>0</v>
      </c>
    </row>
    <row r="17" spans="2:3" x14ac:dyDescent="0.25">
      <c r="B17">
        <v>2012</v>
      </c>
      <c r="C17" s="26">
        <v>0</v>
      </c>
    </row>
    <row r="18" spans="2:3" x14ac:dyDescent="0.25">
      <c r="B18">
        <v>2013</v>
      </c>
      <c r="C18" s="26">
        <v>0</v>
      </c>
    </row>
    <row r="19" spans="2:3" x14ac:dyDescent="0.25">
      <c r="B19">
        <v>2014</v>
      </c>
      <c r="C19" s="26">
        <v>0</v>
      </c>
    </row>
    <row r="20" spans="2:3" x14ac:dyDescent="0.25">
      <c r="B20">
        <v>2015</v>
      </c>
      <c r="C20" s="26">
        <v>0</v>
      </c>
    </row>
    <row r="21" spans="2:3" x14ac:dyDescent="0.25">
      <c r="B21">
        <v>2016</v>
      </c>
      <c r="C21" s="26">
        <v>0</v>
      </c>
    </row>
    <row r="22" spans="2:3" x14ac:dyDescent="0.25">
      <c r="B22">
        <v>2017</v>
      </c>
      <c r="C22" s="26">
        <v>0</v>
      </c>
    </row>
    <row r="23" spans="2:3" x14ac:dyDescent="0.25">
      <c r="B23">
        <v>2018</v>
      </c>
      <c r="C23" s="26">
        <v>0</v>
      </c>
    </row>
    <row r="24" spans="2:3" x14ac:dyDescent="0.25">
      <c r="B24">
        <v>2019</v>
      </c>
      <c r="C24" s="26">
        <v>0</v>
      </c>
    </row>
    <row r="25" spans="2:3" x14ac:dyDescent="0.25">
      <c r="B25">
        <v>2020</v>
      </c>
      <c r="C25" s="26">
        <v>0</v>
      </c>
    </row>
    <row r="26" spans="2:3" x14ac:dyDescent="0.25">
      <c r="B26">
        <v>2021</v>
      </c>
      <c r="C26" s="26">
        <v>0</v>
      </c>
    </row>
    <row r="27" spans="2:3" x14ac:dyDescent="0.25">
      <c r="B27">
        <v>2022</v>
      </c>
      <c r="C27" s="26">
        <v>0</v>
      </c>
    </row>
    <row r="28" spans="2:3" x14ac:dyDescent="0.25">
      <c r="B28">
        <v>2023</v>
      </c>
      <c r="C28" s="26">
        <v>0</v>
      </c>
    </row>
    <row r="29" spans="2:3" x14ac:dyDescent="0.25">
      <c r="B29">
        <v>2024</v>
      </c>
      <c r="C29" s="26">
        <v>0</v>
      </c>
    </row>
    <row r="30" spans="2:3" x14ac:dyDescent="0.25">
      <c r="C30" s="26"/>
    </row>
  </sheetData>
  <mergeCells count="1">
    <mergeCell ref="A1:B1"/>
  </mergeCells>
  <dataValidations count="3">
    <dataValidation type="list" allowBlank="1" showInputMessage="1" showErrorMessage="1" sqref="B7" xr:uid="{00000000-0002-0000-0100-000001000000}">
      <formula1>$L$2:$L$13</formula1>
    </dataValidation>
    <dataValidation type="list" allowBlank="1" showInputMessage="1" showErrorMessage="1" sqref="B6" xr:uid="{B81F8E1D-6B06-49BF-BDD6-EA32CD012119}">
      <formula1>"Да,Нет"</formula1>
    </dataValidation>
    <dataValidation type="list" allowBlank="1" showInputMessage="1" showErrorMessage="1" sqref="B4 B5" xr:uid="{43ECB622-B274-4A11-A213-015994D55562}">
      <formula1>"2004,2005,2006,2007,2008,2009,2010,2011,2012,2013,2014,2015,2016,2017,2018,2019,2020,2021,2022,2023,2024"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>
    <tabColor theme="2"/>
  </sheetPr>
  <dimension ref="A1:H26"/>
  <sheetViews>
    <sheetView workbookViewId="0">
      <selection activeCell="C20" sqref="C20"/>
    </sheetView>
  </sheetViews>
  <sheetFormatPr defaultRowHeight="15" x14ac:dyDescent="0.25"/>
  <cols>
    <col min="1" max="1" width="10.85546875" customWidth="1"/>
    <col min="2" max="2" width="20.85546875" bestFit="1" customWidth="1"/>
    <col min="3" max="3" width="20" customWidth="1"/>
    <col min="4" max="4" width="23.85546875" customWidth="1"/>
    <col min="5" max="5" width="24.28515625" customWidth="1"/>
    <col min="6" max="8" width="9.140625" customWidth="1"/>
  </cols>
  <sheetData>
    <row r="1" spans="1:8" ht="21" x14ac:dyDescent="0.35">
      <c r="A1" s="75" t="s">
        <v>19</v>
      </c>
      <c r="B1" s="75"/>
      <c r="C1" s="75"/>
      <c r="D1" s="75"/>
      <c r="E1" s="75"/>
    </row>
    <row r="2" spans="1:8" x14ac:dyDescent="0.25">
      <c r="A2" s="76" t="s">
        <v>20</v>
      </c>
      <c r="B2" s="76"/>
      <c r="C2" s="76"/>
      <c r="D2" s="76"/>
      <c r="E2" s="76"/>
    </row>
    <row r="4" spans="1:8" x14ac:dyDescent="0.25">
      <c r="A4" s="10" t="s">
        <v>10</v>
      </c>
      <c r="B4" s="10" t="s">
        <v>21</v>
      </c>
      <c r="C4" s="10" t="s">
        <v>23</v>
      </c>
      <c r="D4" s="10" t="s">
        <v>22</v>
      </c>
      <c r="E4" s="10" t="s">
        <v>24</v>
      </c>
    </row>
    <row r="5" spans="1:8" ht="30" x14ac:dyDescent="0.25">
      <c r="A5" s="5">
        <v>2003</v>
      </c>
      <c r="B5" s="7">
        <v>514.71</v>
      </c>
      <c r="C5" s="9" t="s">
        <v>25</v>
      </c>
      <c r="D5" s="7">
        <v>127.73</v>
      </c>
      <c r="E5" s="9" t="s">
        <v>27</v>
      </c>
    </row>
    <row r="6" spans="1:8" x14ac:dyDescent="0.25">
      <c r="A6" s="5">
        <v>2004</v>
      </c>
      <c r="B6" s="7">
        <v>552.22</v>
      </c>
      <c r="C6" s="3">
        <f>B6/B5-1</f>
        <v>7.2875988420664006E-2</v>
      </c>
      <c r="D6" s="7">
        <v>141.63999999999999</v>
      </c>
      <c r="E6" s="3">
        <f>D6/D5-1</f>
        <v>0.10890158928990834</v>
      </c>
      <c r="F6" s="8"/>
      <c r="G6" s="8"/>
      <c r="H6" s="8"/>
    </row>
    <row r="7" spans="1:8" x14ac:dyDescent="0.25">
      <c r="A7" s="5">
        <v>2005</v>
      </c>
      <c r="B7" s="7">
        <v>1020.91</v>
      </c>
      <c r="C7" s="3">
        <f t="shared" ref="C7:C25" si="0">B7/B6-1</f>
        <v>0.84873782188258295</v>
      </c>
      <c r="D7" s="7">
        <v>158.13</v>
      </c>
      <c r="E7" s="3">
        <f t="shared" ref="E7:E26" si="1">D7/D6-1</f>
        <v>0.11642191471335783</v>
      </c>
    </row>
    <row r="8" spans="1:8" x14ac:dyDescent="0.25">
      <c r="A8" s="5">
        <v>2006</v>
      </c>
      <c r="B8" s="7">
        <v>1733.52</v>
      </c>
      <c r="C8" s="3">
        <f t="shared" si="0"/>
        <v>0.6980145164608047</v>
      </c>
      <c r="D8" s="7">
        <v>168.99</v>
      </c>
      <c r="E8" s="3">
        <f t="shared" si="1"/>
        <v>6.8677670271295899E-2</v>
      </c>
      <c r="F8" s="6"/>
      <c r="G8" s="6"/>
      <c r="H8" s="6"/>
    </row>
    <row r="9" spans="1:8" x14ac:dyDescent="0.25">
      <c r="A9" s="5">
        <v>2007</v>
      </c>
      <c r="B9" s="7">
        <v>1952.83</v>
      </c>
      <c r="C9" s="3">
        <f t="shared" si="0"/>
        <v>0.12651137569800164</v>
      </c>
      <c r="D9" s="7">
        <v>181.5</v>
      </c>
      <c r="E9" s="3">
        <f t="shared" si="1"/>
        <v>7.402804899698201E-2</v>
      </c>
      <c r="F9" s="3"/>
      <c r="G9" s="2"/>
      <c r="H9" s="4"/>
    </row>
    <row r="10" spans="1:8" x14ac:dyDescent="0.25">
      <c r="A10" s="5">
        <v>2008</v>
      </c>
      <c r="B10" s="7">
        <v>652.08000000000004</v>
      </c>
      <c r="C10" s="3">
        <f t="shared" si="0"/>
        <v>-0.66608460541880243</v>
      </c>
      <c r="D10" s="7">
        <v>171.42</v>
      </c>
      <c r="E10" s="3">
        <f t="shared" si="1"/>
        <v>-5.5537190082644683E-2</v>
      </c>
      <c r="F10" s="3"/>
      <c r="G10" s="2"/>
      <c r="H10" s="4"/>
    </row>
    <row r="11" spans="1:8" x14ac:dyDescent="0.25">
      <c r="A11" s="5">
        <v>2009</v>
      </c>
      <c r="B11" s="7">
        <v>1474.41</v>
      </c>
      <c r="C11" s="3">
        <f t="shared" si="0"/>
        <v>1.2610875966139123</v>
      </c>
      <c r="D11" s="7">
        <v>231.98</v>
      </c>
      <c r="E11" s="3">
        <f t="shared" si="1"/>
        <v>0.35328433088321076</v>
      </c>
      <c r="F11" s="3"/>
      <c r="G11" s="2"/>
      <c r="H11" s="4"/>
    </row>
    <row r="12" spans="1:8" x14ac:dyDescent="0.25">
      <c r="A12" s="5">
        <v>2010</v>
      </c>
      <c r="B12" s="7">
        <v>1847.21</v>
      </c>
      <c r="C12" s="3">
        <f t="shared" si="0"/>
        <v>0.25284690147245326</v>
      </c>
      <c r="D12" s="7">
        <v>257.83999999999997</v>
      </c>
      <c r="E12" s="3">
        <f t="shared" si="1"/>
        <v>0.11147512716613495</v>
      </c>
      <c r="F12" s="3"/>
      <c r="G12" s="2"/>
      <c r="H12" s="4"/>
    </row>
    <row r="13" spans="1:8" x14ac:dyDescent="0.25">
      <c r="A13" s="5">
        <v>2011</v>
      </c>
      <c r="B13" s="7">
        <v>1580.19</v>
      </c>
      <c r="C13" s="3">
        <f t="shared" si="0"/>
        <v>-0.14455313689293581</v>
      </c>
      <c r="D13" s="7">
        <v>272.77999999999997</v>
      </c>
      <c r="E13" s="3">
        <f t="shared" si="1"/>
        <v>5.7942910331988839E-2</v>
      </c>
      <c r="F13" s="3"/>
      <c r="G13" s="2"/>
      <c r="H13" s="4"/>
    </row>
    <row r="14" spans="1:8" x14ac:dyDescent="0.25">
      <c r="A14" s="5">
        <v>2012</v>
      </c>
      <c r="B14" s="7">
        <v>1718.76</v>
      </c>
      <c r="C14" s="3">
        <f t="shared" si="0"/>
        <v>8.7691986406697842E-2</v>
      </c>
      <c r="D14" s="7">
        <v>312.73</v>
      </c>
      <c r="E14" s="3">
        <f t="shared" si="1"/>
        <v>0.14645501869638555</v>
      </c>
      <c r="F14" s="3"/>
      <c r="G14" s="2"/>
      <c r="H14" s="4"/>
    </row>
    <row r="15" spans="1:8" x14ac:dyDescent="0.25">
      <c r="A15" s="5">
        <v>2013</v>
      </c>
      <c r="B15" s="7">
        <v>1827.3</v>
      </c>
      <c r="C15" s="3">
        <f t="shared" si="0"/>
        <v>6.3150178035327853E-2</v>
      </c>
      <c r="D15" s="7">
        <v>324.62</v>
      </c>
      <c r="E15" s="3">
        <f t="shared" si="1"/>
        <v>3.8020017267291317E-2</v>
      </c>
      <c r="F15" s="3"/>
      <c r="G15" s="2"/>
      <c r="H15" s="4"/>
    </row>
    <row r="16" spans="1:8" x14ac:dyDescent="0.25">
      <c r="A16" s="5">
        <v>2014</v>
      </c>
      <c r="B16" s="7">
        <v>1793.6</v>
      </c>
      <c r="C16" s="3">
        <f t="shared" si="0"/>
        <v>-1.8442510808296397E-2</v>
      </c>
      <c r="D16" s="7">
        <v>278.02</v>
      </c>
      <c r="E16" s="3">
        <f t="shared" si="1"/>
        <v>-0.14355246133941235</v>
      </c>
      <c r="F16" s="3"/>
      <c r="G16" s="2"/>
      <c r="H16" s="4"/>
    </row>
    <row r="17" spans="1:8" x14ac:dyDescent="0.25">
      <c r="A17" s="5">
        <v>2015</v>
      </c>
      <c r="B17" s="7">
        <v>2372.4899999999998</v>
      </c>
      <c r="C17" s="3">
        <f t="shared" si="0"/>
        <v>0.32275312221231034</v>
      </c>
      <c r="D17" s="7">
        <v>360.19</v>
      </c>
      <c r="E17" s="3">
        <f t="shared" si="1"/>
        <v>0.2955542766707433</v>
      </c>
      <c r="F17" s="3"/>
      <c r="G17" s="2"/>
      <c r="H17" s="4"/>
    </row>
    <row r="18" spans="1:8" x14ac:dyDescent="0.25">
      <c r="A18" s="5">
        <v>2016</v>
      </c>
      <c r="B18" s="7">
        <v>3150.2</v>
      </c>
      <c r="C18" s="3">
        <f t="shared" si="0"/>
        <v>0.32780327841213253</v>
      </c>
      <c r="D18" s="7">
        <v>413.78</v>
      </c>
      <c r="E18" s="3">
        <f t="shared" si="1"/>
        <v>0.14878258696798907</v>
      </c>
      <c r="F18" s="3"/>
      <c r="G18" s="2"/>
      <c r="H18" s="4"/>
    </row>
    <row r="19" spans="1:8" x14ac:dyDescent="0.25">
      <c r="A19" s="5">
        <v>2017</v>
      </c>
      <c r="B19" s="7">
        <v>3144.34</v>
      </c>
      <c r="C19" s="3">
        <f t="shared" si="0"/>
        <v>-1.8601993524219873E-3</v>
      </c>
      <c r="D19" s="7">
        <v>466.49</v>
      </c>
      <c r="E19" s="3">
        <f t="shared" si="1"/>
        <v>0.12738653390690713</v>
      </c>
      <c r="F19" s="3"/>
      <c r="G19" s="2"/>
      <c r="H19" s="4"/>
    </row>
    <row r="20" spans="1:8" x14ac:dyDescent="0.25">
      <c r="A20" s="5">
        <v>2018</v>
      </c>
      <c r="B20" s="7">
        <v>3744.45</v>
      </c>
      <c r="C20" s="3">
        <f t="shared" si="0"/>
        <v>0.19085404250176485</v>
      </c>
      <c r="D20" s="7">
        <v>476.39</v>
      </c>
      <c r="E20" s="3">
        <f t="shared" si="1"/>
        <v>2.1222319878239526E-2</v>
      </c>
      <c r="F20" s="3"/>
      <c r="G20" s="2"/>
      <c r="H20" s="4"/>
    </row>
    <row r="21" spans="1:8" x14ac:dyDescent="0.25">
      <c r="A21" s="5">
        <v>2019</v>
      </c>
      <c r="B21" s="7">
        <v>5184.22</v>
      </c>
      <c r="C21" s="3">
        <f t="shared" si="0"/>
        <v>0.38450773811908312</v>
      </c>
      <c r="D21" s="7">
        <v>571.63</v>
      </c>
      <c r="E21" s="3">
        <f t="shared" si="1"/>
        <v>0.19992023342219611</v>
      </c>
      <c r="F21" s="3"/>
      <c r="G21" s="2"/>
      <c r="H21" s="4"/>
    </row>
    <row r="22" spans="1:8" x14ac:dyDescent="0.25">
      <c r="A22" s="5">
        <v>2020</v>
      </c>
      <c r="B22" s="7">
        <v>5952.77</v>
      </c>
      <c r="C22" s="3">
        <f t="shared" si="0"/>
        <v>0.14824795244028999</v>
      </c>
      <c r="D22" s="7">
        <v>620.45000000000005</v>
      </c>
      <c r="E22" s="3">
        <f t="shared" si="1"/>
        <v>8.5404894774592011E-2</v>
      </c>
      <c r="F22" s="3"/>
      <c r="G22" s="2"/>
      <c r="H22" s="4"/>
    </row>
    <row r="23" spans="1:8" x14ac:dyDescent="0.25">
      <c r="A23" s="5">
        <v>2021</v>
      </c>
      <c r="B23" s="7">
        <v>7250.04</v>
      </c>
      <c r="C23" s="3">
        <f t="shared" si="0"/>
        <v>0.21792711628367956</v>
      </c>
      <c r="D23" s="7">
        <v>589.16999999999996</v>
      </c>
      <c r="E23" s="3">
        <f t="shared" si="1"/>
        <v>-5.0415021355467937E-2</v>
      </c>
      <c r="F23" s="3"/>
      <c r="G23" s="2"/>
      <c r="H23" s="4"/>
    </row>
    <row r="24" spans="1:8" x14ac:dyDescent="0.25">
      <c r="A24" s="5">
        <v>2022</v>
      </c>
      <c r="B24" s="7">
        <v>4548.82</v>
      </c>
      <c r="C24" s="3">
        <f t="shared" si="0"/>
        <v>-0.37258001335165047</v>
      </c>
      <c r="D24" s="7">
        <v>611.72</v>
      </c>
      <c r="E24" s="3">
        <f t="shared" si="1"/>
        <v>3.8274182324286921E-2</v>
      </c>
      <c r="F24" s="3"/>
      <c r="G24" s="2"/>
      <c r="H24" s="4"/>
    </row>
    <row r="25" spans="1:8" x14ac:dyDescent="0.25">
      <c r="A25" s="5">
        <v>2023</v>
      </c>
      <c r="B25" s="7">
        <v>6997.68</v>
      </c>
      <c r="C25" s="3">
        <f t="shared" si="0"/>
        <v>0.53835060521190137</v>
      </c>
      <c r="D25" s="7">
        <v>616.37</v>
      </c>
      <c r="E25" s="3">
        <f t="shared" si="1"/>
        <v>7.6015170339369664E-3</v>
      </c>
      <c r="F25" s="3"/>
      <c r="G25" s="2"/>
      <c r="H25" s="4"/>
    </row>
    <row r="26" spans="1:8" x14ac:dyDescent="0.25">
      <c r="A26" s="5">
        <v>2024</v>
      </c>
      <c r="B26" s="7">
        <v>7112.22</v>
      </c>
      <c r="C26" s="3">
        <f>B26/B25-1</f>
        <v>1.6368282059196826E-2</v>
      </c>
      <c r="D26" s="7">
        <v>563.02</v>
      </c>
      <c r="E26" s="3">
        <f t="shared" si="1"/>
        <v>-8.6555153560361475E-2</v>
      </c>
      <c r="F26" s="3"/>
      <c r="G26" s="2"/>
      <c r="H26" s="4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>
    <tabColor rgb="FF0070C0"/>
  </sheetPr>
  <dimension ref="A1:I237"/>
  <sheetViews>
    <sheetView workbookViewId="0">
      <selection activeCell="G32" sqref="G32"/>
    </sheetView>
  </sheetViews>
  <sheetFormatPr defaultRowHeight="15" x14ac:dyDescent="0.25"/>
  <cols>
    <col min="1" max="1" width="28.85546875" customWidth="1"/>
    <col min="2" max="2" width="19" bestFit="1" customWidth="1"/>
    <col min="3" max="3" width="23.7109375" bestFit="1" customWidth="1"/>
    <col min="4" max="4" width="12.7109375" bestFit="1" customWidth="1"/>
    <col min="5" max="5" width="21.140625" bestFit="1" customWidth="1"/>
    <col min="6" max="6" width="35.42578125" customWidth="1"/>
    <col min="7" max="7" width="24.85546875" bestFit="1" customWidth="1"/>
    <col min="8" max="8" width="23.7109375" bestFit="1" customWidth="1"/>
    <col min="9" max="9" width="20.140625" bestFit="1" customWidth="1"/>
  </cols>
  <sheetData>
    <row r="1" spans="1:9" ht="21" x14ac:dyDescent="0.35">
      <c r="A1" s="75" t="s">
        <v>17</v>
      </c>
      <c r="B1" s="75"/>
      <c r="C1" s="75"/>
      <c r="D1" s="75"/>
      <c r="E1" s="75"/>
      <c r="F1" s="75"/>
      <c r="G1" s="75"/>
    </row>
    <row r="3" spans="1:9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42" t="s">
        <v>93</v>
      </c>
      <c r="I3" s="42" t="s">
        <v>94</v>
      </c>
    </row>
    <row r="4" spans="1:9" x14ac:dyDescent="0.25">
      <c r="A4" s="5">
        <v>2004</v>
      </c>
      <c r="B4" s="3">
        <f>VLOOKUP(Данные[[#This Row],[Год]],'Сырые данные'!$A$5:$E$26,3,TRUE)</f>
        <v>7.2875988420664006E-2</v>
      </c>
      <c r="C4" s="3">
        <f>VLOOKUP(Данные[[#This Row],[Год]],'Сырые данные'!$A$5:$E$26,5,0)</f>
        <v>0.10890158928990834</v>
      </c>
      <c r="D4" s="11">
        <v>0.10199999999999999</v>
      </c>
      <c r="E4" s="3">
        <v>0.1174</v>
      </c>
      <c r="F4" s="47">
        <f>1+Данные[[#This Row],[Инфляция (ИЦП)]]</f>
        <v>1.1173999999999999</v>
      </c>
      <c r="G4" s="4">
        <f>Настройки!$B$2</f>
        <v>115000</v>
      </c>
      <c r="H4" s="2">
        <f>IFERROR(VLOOKUP(A4,Таблица18[#All],2,FALSE),0)</f>
        <v>0</v>
      </c>
      <c r="I4" s="4">
        <f>Данные[[#This Row],[Взнос с индексацией]]+Данные[[#This Row],[Разовый взнос]]</f>
        <v>115000</v>
      </c>
    </row>
    <row r="5" spans="1:9" x14ac:dyDescent="0.25">
      <c r="A5" s="5">
        <v>2005</v>
      </c>
      <c r="B5" s="3">
        <f>VLOOKUP(Данные[[#This Row],[Год]],'Сырые данные'!$A$5:$E$26,3,TRUE)</f>
        <v>0.84873782188258295</v>
      </c>
      <c r="C5" s="3">
        <f>VLOOKUP(Данные[[#This Row],[Год]],'Сырые данные'!$A$5:$E$26,5,0)</f>
        <v>0.11642191471335783</v>
      </c>
      <c r="D5" s="11">
        <v>8.4000000000000005E-2</v>
      </c>
      <c r="E5" s="3">
        <v>0.1091</v>
      </c>
      <c r="F5" s="47">
        <f>F4 * (1 + E5)</f>
        <v>1.23930834</v>
      </c>
      <c r="G5" s="4">
        <f>IF(Настройки!$B$6="да",'Исходные данные'!G4*(1+'Исходные данные'!E4),Настройки!$B$2)</f>
        <v>128501</v>
      </c>
      <c r="H5" s="2">
        <f>IFERROR(VLOOKUP(A5,Таблица18[#All],2,FALSE),0)</f>
        <v>0</v>
      </c>
      <c r="I5" s="4">
        <f>Данные[[#This Row],[Взнос с индексацией]]+Данные[[#This Row],[Разовый взнос]]</f>
        <v>128501</v>
      </c>
    </row>
    <row r="6" spans="1:9" x14ac:dyDescent="0.25">
      <c r="A6" s="5">
        <v>2006</v>
      </c>
      <c r="B6" s="3">
        <f>VLOOKUP(Данные[[#This Row],[Год]],'Сырые данные'!$A$5:$E$26,3,TRUE)</f>
        <v>0.6980145164608047</v>
      </c>
      <c r="C6" s="3">
        <f>VLOOKUP(Данные[[#This Row],[Год]],'Сырые данные'!$A$5:$E$26,5,0)</f>
        <v>6.8677670271295899E-2</v>
      </c>
      <c r="D6" s="11">
        <v>8.8999999999999996E-2</v>
      </c>
      <c r="E6" s="3">
        <v>0.09</v>
      </c>
      <c r="F6" s="47">
        <f>F5 * (1 + E6)</f>
        <v>1.3508460906000002</v>
      </c>
      <c r="G6" s="4">
        <f>IF(Настройки!$B$6="да",'Исходные данные'!G5*(1+'Исходные данные'!E5),Настройки!$B$2)</f>
        <v>142520.45910000001</v>
      </c>
      <c r="H6" s="2">
        <f>IFERROR(VLOOKUP(A6,Таблица18[#All],2,FALSE),0)</f>
        <v>0</v>
      </c>
      <c r="I6" s="4">
        <f>Данные[[#This Row],[Взнос с индексацией]]+Данные[[#This Row],[Разовый взнос]]</f>
        <v>142520.45910000001</v>
      </c>
    </row>
    <row r="7" spans="1:9" x14ac:dyDescent="0.25">
      <c r="A7" s="5">
        <v>2007</v>
      </c>
      <c r="B7" s="3">
        <f>VLOOKUP(Данные[[#This Row],[Год]],'Сырые данные'!$A$5:$E$26,3,TRUE)</f>
        <v>0.12651137569800164</v>
      </c>
      <c r="C7" s="3">
        <f>VLOOKUP(Данные[[#This Row],[Год]],'Сырые данные'!$A$5:$E$26,5,0)</f>
        <v>7.402804899698201E-2</v>
      </c>
      <c r="D7" s="11">
        <v>0.08</v>
      </c>
      <c r="E7" s="3">
        <v>0.1187</v>
      </c>
      <c r="F7" s="47">
        <f t="shared" ref="F7:F24" si="0">F6 * (1 + E7)</f>
        <v>1.5111915215542202</v>
      </c>
      <c r="G7" s="4">
        <f>IF(Настройки!$B$6="да",'Исходные данные'!G6*(1+'Исходные данные'!E6),Настройки!$B$2)</f>
        <v>155347.30041900001</v>
      </c>
      <c r="H7" s="2">
        <f>IFERROR(VLOOKUP(A7,Таблица18[#All],2,FALSE),0)</f>
        <v>0</v>
      </c>
      <c r="I7" s="4">
        <f>Данные[[#This Row],[Взнос с индексацией]]+Данные[[#This Row],[Разовый взнос]]</f>
        <v>155347.30041900001</v>
      </c>
    </row>
    <row r="8" spans="1:9" x14ac:dyDescent="0.25">
      <c r="A8" s="5">
        <v>2008</v>
      </c>
      <c r="B8" s="3">
        <f>VLOOKUP(Данные[[#This Row],[Год]],'Сырые данные'!$A$5:$E$26,3,TRUE)</f>
        <v>-0.66608460541880243</v>
      </c>
      <c r="C8" s="3">
        <f>VLOOKUP(Данные[[#This Row],[Год]],'Сырые данные'!$A$5:$E$26,5,0)</f>
        <v>-5.5537190082644683E-2</v>
      </c>
      <c r="D8" s="11">
        <v>0.112</v>
      </c>
      <c r="E8" s="3">
        <v>0.1328</v>
      </c>
      <c r="F8" s="47">
        <f t="shared" si="0"/>
        <v>1.7118777556166207</v>
      </c>
      <c r="G8" s="4">
        <f>IF(Настройки!$B$6="да",'Исходные данные'!G7*(1+'Исходные данные'!E7),Настройки!$B$2)</f>
        <v>173787.02497873531</v>
      </c>
      <c r="H8" s="2">
        <f>IFERROR(VLOOKUP(A8,Таблица18[#All],2,FALSE),0)</f>
        <v>0</v>
      </c>
      <c r="I8" s="4">
        <f>Данные[[#This Row],[Взнос с индексацией]]+Данные[[#This Row],[Разовый взнос]]</f>
        <v>173787.02497873531</v>
      </c>
    </row>
    <row r="9" spans="1:9" x14ac:dyDescent="0.25">
      <c r="A9" s="5">
        <v>2009</v>
      </c>
      <c r="B9" s="3">
        <f>VLOOKUP(Данные[[#This Row],[Год]],'Сырые данные'!$A$5:$E$26,3,TRUE)</f>
        <v>1.2610875966139123</v>
      </c>
      <c r="C9" s="3">
        <f>VLOOKUP(Данные[[#This Row],[Год]],'Сырые данные'!$A$5:$E$26,5,0)</f>
        <v>0.35328433088321076</v>
      </c>
      <c r="D9" s="11">
        <v>0.112</v>
      </c>
      <c r="E9" s="3">
        <v>8.7999999999999995E-2</v>
      </c>
      <c r="F9" s="47">
        <f t="shared" si="0"/>
        <v>1.8625229981108835</v>
      </c>
      <c r="G9" s="4">
        <f>IF(Настройки!$B$6="да",'Исходные данные'!G8*(1+'Исходные данные'!E8),Настройки!$B$2)</f>
        <v>196865.94189591135</v>
      </c>
      <c r="H9" s="2">
        <f>IFERROR(VLOOKUP(A9,Таблица18[#All],2,FALSE),0)</f>
        <v>0</v>
      </c>
      <c r="I9" s="4">
        <f>Данные[[#This Row],[Взнос с индексацией]]+Данные[[#This Row],[Разовый взнос]]</f>
        <v>196865.94189591135</v>
      </c>
    </row>
    <row r="10" spans="1:9" x14ac:dyDescent="0.25">
      <c r="A10" s="5">
        <v>2010</v>
      </c>
      <c r="B10" s="3">
        <f>VLOOKUP(Данные[[#This Row],[Год]],'Сырые данные'!$A$5:$E$26,3,TRUE)</f>
        <v>0.25284690147245326</v>
      </c>
      <c r="C10" s="3">
        <f>VLOOKUP(Данные[[#This Row],[Год]],'Сырые данные'!$A$5:$E$26,5,0)</f>
        <v>0.11147512716613495</v>
      </c>
      <c r="D10" s="11">
        <v>6.8000000000000005E-2</v>
      </c>
      <c r="E10" s="3">
        <v>8.7800000000000003E-2</v>
      </c>
      <c r="F10" s="47">
        <f t="shared" si="0"/>
        <v>2.0260525173450192</v>
      </c>
      <c r="G10" s="4">
        <f>IF(Настройки!$B$6="да",'Исходные данные'!G9*(1+'Исходные данные'!E9),Настройки!$B$2)</f>
        <v>214190.14478275157</v>
      </c>
      <c r="H10" s="2">
        <f>IFERROR(VLOOKUP(A10,Таблица18[#All],2,FALSE),0)</f>
        <v>0</v>
      </c>
      <c r="I10" s="4">
        <f>Данные[[#This Row],[Взнос с индексацией]]+Данные[[#This Row],[Разовый взнос]]</f>
        <v>214190.14478275157</v>
      </c>
    </row>
    <row r="11" spans="1:9" x14ac:dyDescent="0.25">
      <c r="A11" s="5">
        <v>2011</v>
      </c>
      <c r="B11" s="3">
        <f>VLOOKUP(Данные[[#This Row],[Год]],'Сырые данные'!$A$5:$E$26,3,TRUE)</f>
        <v>-0.14455313689293581</v>
      </c>
      <c r="C11" s="3">
        <f>VLOOKUP(Данные[[#This Row],[Год]],'Сырые данные'!$A$5:$E$26,5,0)</f>
        <v>5.7942910331988839E-2</v>
      </c>
      <c r="D11" s="11">
        <v>7.8E-2</v>
      </c>
      <c r="E11" s="3">
        <v>6.0999999999999999E-2</v>
      </c>
      <c r="F11" s="47">
        <f t="shared" si="0"/>
        <v>2.1496417209030652</v>
      </c>
      <c r="G11" s="4">
        <f>IF(Настройки!$B$6="да",'Исходные данные'!G10*(1+'Исходные данные'!E10),Настройки!$B$2)</f>
        <v>232996.03949467718</v>
      </c>
      <c r="H11" s="2">
        <f>IFERROR(VLOOKUP(A11,Таблица18[#All],2,FALSE),0)</f>
        <v>0</v>
      </c>
      <c r="I11" s="4">
        <f>Данные[[#This Row],[Взнос с индексацией]]+Данные[[#This Row],[Разовый взнос]]</f>
        <v>232996.03949467718</v>
      </c>
    </row>
    <row r="12" spans="1:9" x14ac:dyDescent="0.25">
      <c r="A12" s="5">
        <v>2012</v>
      </c>
      <c r="B12" s="3">
        <f>VLOOKUP(Данные[[#This Row],[Год]],'Сырые данные'!$A$5:$E$26,3,TRUE)</f>
        <v>8.7691986406697842E-2</v>
      </c>
      <c r="C12" s="3">
        <f>VLOOKUP(Данные[[#This Row],[Год]],'Сырые данные'!$A$5:$E$26,5,0)</f>
        <v>0.14645501869638555</v>
      </c>
      <c r="D12" s="11">
        <v>8.4000000000000005E-2</v>
      </c>
      <c r="E12" s="3">
        <v>6.5799999999999997E-2</v>
      </c>
      <c r="F12" s="47">
        <f t="shared" si="0"/>
        <v>2.2910881461384869</v>
      </c>
      <c r="G12" s="4">
        <f>IF(Настройки!$B$6="да",'Исходные данные'!G11*(1+'Исходные данные'!E11),Настройки!$B$2)</f>
        <v>247208.79790385248</v>
      </c>
      <c r="H12" s="2">
        <f>IFERROR(VLOOKUP(A12,Таблица18[#All],2,FALSE),0)</f>
        <v>0</v>
      </c>
      <c r="I12" s="4">
        <f>Данные[[#This Row],[Взнос с индексацией]]+Данные[[#This Row],[Разовый взнос]]</f>
        <v>247208.79790385248</v>
      </c>
    </row>
    <row r="13" spans="1:9" x14ac:dyDescent="0.25">
      <c r="A13" s="5">
        <v>2013</v>
      </c>
      <c r="B13" s="3">
        <f>VLOOKUP(Данные[[#This Row],[Год]],'Сырые данные'!$A$5:$E$26,3,TRUE)</f>
        <v>6.3150178035327853E-2</v>
      </c>
      <c r="C13" s="3">
        <f>VLOOKUP(Данные[[#This Row],[Год]],'Сырые данные'!$A$5:$E$26,5,0)</f>
        <v>3.8020017267291317E-2</v>
      </c>
      <c r="D13" s="11">
        <v>7.3999999999999996E-2</v>
      </c>
      <c r="E13" s="3">
        <v>6.4500000000000002E-2</v>
      </c>
      <c r="F13" s="47">
        <f t="shared" si="0"/>
        <v>2.4388633315644195</v>
      </c>
      <c r="G13" s="4">
        <f>IF(Настройки!$B$6="да",'Исходные данные'!G12*(1+'Исходные данные'!E12),Настройки!$B$2)</f>
        <v>263475.13680592598</v>
      </c>
      <c r="H13" s="2">
        <f>IFERROR(VLOOKUP(A13,Таблица18[#All],2,FALSE),0)</f>
        <v>0</v>
      </c>
      <c r="I13" s="4">
        <f>Данные[[#This Row],[Взнос с индексацией]]+Данные[[#This Row],[Разовый взнос]]</f>
        <v>263475.13680592598</v>
      </c>
    </row>
    <row r="14" spans="1:9" x14ac:dyDescent="0.25">
      <c r="A14" s="5">
        <v>2014</v>
      </c>
      <c r="B14" s="3">
        <f>VLOOKUP(Данные[[#This Row],[Год]],'Сырые данные'!$A$5:$E$26,3,TRUE)</f>
        <v>-1.8442510808296397E-2</v>
      </c>
      <c r="C14" s="3">
        <f>VLOOKUP(Данные[[#This Row],[Год]],'Сырые данные'!$A$5:$E$26,5,0)</f>
        <v>-0.14355246133941235</v>
      </c>
      <c r="D14" s="11">
        <v>8.1000000000000003E-2</v>
      </c>
      <c r="E14" s="3">
        <v>0.11360000000000001</v>
      </c>
      <c r="F14" s="47">
        <f t="shared" si="0"/>
        <v>2.7159182060301372</v>
      </c>
      <c r="G14" s="4">
        <f>IF(Настройки!$B$6="да",'Исходные данные'!G13*(1+'Исходные данные'!E13),Настройки!$B$2)</f>
        <v>280469.2831299082</v>
      </c>
      <c r="H14" s="2">
        <f>IFERROR(VLOOKUP(A14,Таблица18[#All],2,FALSE),0)</f>
        <v>0</v>
      </c>
      <c r="I14" s="4">
        <f>Данные[[#This Row],[Взнос с индексацией]]+Данные[[#This Row],[Разовый взнос]]</f>
        <v>280469.2831299082</v>
      </c>
    </row>
    <row r="15" spans="1:9" x14ac:dyDescent="0.25">
      <c r="A15" s="5">
        <v>2015</v>
      </c>
      <c r="B15" s="3">
        <f>VLOOKUP(Данные[[#This Row],[Год]],'Сырые данные'!$A$5:$E$26,3,TRUE)</f>
        <v>0.32275312221231034</v>
      </c>
      <c r="C15" s="3">
        <f>VLOOKUP(Данные[[#This Row],[Год]],'Сырые данные'!$A$5:$E$26,5,0)</f>
        <v>0.2955542766707433</v>
      </c>
      <c r="D15" s="11">
        <v>0.10100000000000001</v>
      </c>
      <c r="E15" s="3">
        <v>0.12909999999999999</v>
      </c>
      <c r="F15" s="47">
        <f t="shared" si="0"/>
        <v>3.066543246428628</v>
      </c>
      <c r="G15" s="4">
        <f>IF(Настройки!$B$6="да",'Исходные данные'!G14*(1+'Исходные данные'!E14),Настройки!$B$2)</f>
        <v>312330.59369346575</v>
      </c>
      <c r="H15" s="2">
        <f>IFERROR(VLOOKUP(A15,Таблица18[#All],2,FALSE),0)</f>
        <v>0</v>
      </c>
      <c r="I15" s="4">
        <f>Данные[[#This Row],[Взнос с индексацией]]+Данные[[#This Row],[Разовый взнос]]</f>
        <v>312330.59369346575</v>
      </c>
    </row>
    <row r="16" spans="1:9" x14ac:dyDescent="0.25">
      <c r="A16" s="5">
        <v>2016</v>
      </c>
      <c r="B16" s="3">
        <f>VLOOKUP(Данные[[#This Row],[Год]],'Сырые данные'!$A$5:$E$26,3,TRUE)</f>
        <v>0.32780327841213253</v>
      </c>
      <c r="C16" s="3">
        <f>VLOOKUP(Данные[[#This Row],[Год]],'Сырые данные'!$A$5:$E$26,5,0)</f>
        <v>0.14878258696798907</v>
      </c>
      <c r="D16" s="11">
        <v>8.4000000000000005E-2</v>
      </c>
      <c r="E16" s="3">
        <v>5.3800000000000001E-2</v>
      </c>
      <c r="F16" s="47">
        <f t="shared" si="0"/>
        <v>3.2315232730864882</v>
      </c>
      <c r="G16" s="4">
        <f>IF(Настройки!$B$6="да",'Исходные данные'!G15*(1+'Исходные данные'!E15),Настройки!$B$2)</f>
        <v>352652.47333929216</v>
      </c>
      <c r="H16" s="2">
        <f>IFERROR(VLOOKUP(A16,Таблица18[#All],2,FALSE),0)</f>
        <v>0</v>
      </c>
      <c r="I16" s="4">
        <f>Данные[[#This Row],[Взнос с индексацией]]+Данные[[#This Row],[Разовый взнос]]</f>
        <v>352652.47333929216</v>
      </c>
    </row>
    <row r="17" spans="1:9" x14ac:dyDescent="0.25">
      <c r="A17" s="5">
        <v>2017</v>
      </c>
      <c r="B17" s="3">
        <f>VLOOKUP(Данные[[#This Row],[Год]],'Сырые данные'!$A$5:$E$26,3,TRUE)</f>
        <v>-1.8601993524219873E-3</v>
      </c>
      <c r="C17" s="3">
        <f>VLOOKUP(Данные[[#This Row],[Год]],'Сырые данные'!$A$5:$E$26,5,0)</f>
        <v>0.12738653390690713</v>
      </c>
      <c r="D17" s="11">
        <v>6.9000000000000006E-2</v>
      </c>
      <c r="E17" s="3">
        <v>2.52E-2</v>
      </c>
      <c r="F17" s="47">
        <f t="shared" si="0"/>
        <v>3.3129576595682675</v>
      </c>
      <c r="G17" s="4">
        <f>IF(Настройки!$B$6="да",'Исходные данные'!G16*(1+'Исходные данные'!E16),Настройки!$B$2)</f>
        <v>371625.17640494613</v>
      </c>
      <c r="H17" s="2">
        <f>IFERROR(VLOOKUP(A17,Таблица18[#All],2,FALSE),0)</f>
        <v>0</v>
      </c>
      <c r="I17" s="4">
        <f>Данные[[#This Row],[Взнос с индексацией]]+Данные[[#This Row],[Разовый взнос]]</f>
        <v>371625.17640494613</v>
      </c>
    </row>
    <row r="18" spans="1:9" x14ac:dyDescent="0.25">
      <c r="A18" s="5">
        <v>2018</v>
      </c>
      <c r="B18" s="3">
        <f>VLOOKUP(Данные[[#This Row],[Год]],'Сырые данные'!$A$5:$E$26,3,TRUE)</f>
        <v>0.19085404250176485</v>
      </c>
      <c r="C18" s="3">
        <f>VLOOKUP(Данные[[#This Row],[Год]],'Сырые данные'!$A$5:$E$26,5,0)</f>
        <v>2.1222319878239526E-2</v>
      </c>
      <c r="D18" s="11">
        <v>6.2E-2</v>
      </c>
      <c r="E18" s="3">
        <v>4.2700000000000002E-2</v>
      </c>
      <c r="F18" s="47">
        <f t="shared" si="0"/>
        <v>3.4544209516318323</v>
      </c>
      <c r="G18" s="4">
        <f>IF(Настройки!$B$6="да",'Исходные данные'!G17*(1+'Исходные данные'!E17),Настройки!$B$2)</f>
        <v>380990.13085035072</v>
      </c>
      <c r="H18" s="2">
        <f>IFERROR(VLOOKUP(A18,Таблица18[#All],2,FALSE),0)</f>
        <v>0</v>
      </c>
      <c r="I18" s="4">
        <f>Данные[[#This Row],[Взнос с индексацией]]+Данные[[#This Row],[Разовый взнос]]</f>
        <v>380990.13085035072</v>
      </c>
    </row>
    <row r="19" spans="1:9" x14ac:dyDescent="0.25">
      <c r="A19" s="5">
        <v>2019</v>
      </c>
      <c r="B19" s="3">
        <f>VLOOKUP(Данные[[#This Row],[Год]],'Сырые данные'!$A$5:$E$26,3,TRUE)</f>
        <v>0.38450773811908312</v>
      </c>
      <c r="C19" s="3">
        <f>VLOOKUP(Данные[[#This Row],[Год]],'Сырые данные'!$A$5:$E$26,5,0)</f>
        <v>0.19992023342219611</v>
      </c>
      <c r="D19" s="11">
        <v>6.6000000000000003E-2</v>
      </c>
      <c r="E19" s="3">
        <v>3.0499999999999999E-2</v>
      </c>
      <c r="F19" s="47">
        <f t="shared" si="0"/>
        <v>3.5597807906566032</v>
      </c>
      <c r="G19" s="4">
        <f>IF(Настройки!$B$6="да",'Исходные данные'!G18*(1+'Исходные данные'!E18),Настройки!$B$2)</f>
        <v>397258.40943766065</v>
      </c>
      <c r="H19" s="2">
        <f>IFERROR(VLOOKUP(A19,Таблица18[#All],2,FALSE),0)</f>
        <v>0</v>
      </c>
      <c r="I19" s="4">
        <f>Данные[[#This Row],[Взнос с индексацией]]+Данные[[#This Row],[Разовый взнос]]</f>
        <v>397258.40943766065</v>
      </c>
    </row>
    <row r="20" spans="1:9" x14ac:dyDescent="0.25">
      <c r="A20" s="5">
        <v>2020</v>
      </c>
      <c r="B20" s="3">
        <f>VLOOKUP(Данные[[#This Row],[Год]],'Сырые данные'!$A$5:$E$26,3,TRUE)</f>
        <v>0.14824795244028999</v>
      </c>
      <c r="C20" s="3">
        <f>VLOOKUP(Данные[[#This Row],[Год]],'Сырые данные'!$A$5:$E$26,5,0)</f>
        <v>8.5404894774592011E-2</v>
      </c>
      <c r="D20" s="11">
        <v>4.5999999999999999E-2</v>
      </c>
      <c r="E20" s="3">
        <v>4.9099999999999998E-2</v>
      </c>
      <c r="F20" s="47">
        <f t="shared" si="0"/>
        <v>3.7345660274778423</v>
      </c>
      <c r="G20" s="4">
        <f>IF(Настройки!$B$6="да",'Исходные данные'!G19*(1+'Исходные данные'!E19),Настройки!$B$2)</f>
        <v>409374.7909255093</v>
      </c>
      <c r="H20" s="2">
        <f>IFERROR(VLOOKUP(A20,Таблица18[#All],2,FALSE),0)</f>
        <v>0</v>
      </c>
      <c r="I20" s="4">
        <f>Данные[[#This Row],[Взнос с индексацией]]+Данные[[#This Row],[Разовый взнос]]</f>
        <v>409374.7909255093</v>
      </c>
    </row>
    <row r="21" spans="1:9" x14ac:dyDescent="0.25">
      <c r="A21" s="5">
        <v>2021</v>
      </c>
      <c r="B21" s="3">
        <f>VLOOKUP(Данные[[#This Row],[Год]],'Сырые данные'!$A$5:$E$26,3,TRUE)</f>
        <v>0.21792711628367956</v>
      </c>
      <c r="C21" s="3">
        <f>VLOOKUP(Данные[[#This Row],[Год]],'Сырые данные'!$A$5:$E$26,5,0)</f>
        <v>-5.0415021355467937E-2</v>
      </c>
      <c r="D21" s="11">
        <v>5.2999999999999999E-2</v>
      </c>
      <c r="E21" s="3">
        <v>8.3900000000000002E-2</v>
      </c>
      <c r="F21" s="47">
        <f t="shared" si="0"/>
        <v>4.0478961171832335</v>
      </c>
      <c r="G21" s="4">
        <f>IF(Настройки!$B$6="да",'Исходные данные'!G20*(1+'Исходные данные'!E20),Настройки!$B$2)</f>
        <v>429475.09315995179</v>
      </c>
      <c r="H21" s="2">
        <f>IFERROR(VLOOKUP(A21,Таблица18[#All],2,FALSE),0)</f>
        <v>0</v>
      </c>
      <c r="I21" s="4">
        <f>Данные[[#This Row],[Взнос с индексацией]]+Данные[[#This Row],[Разовый взнос]]</f>
        <v>429475.09315995179</v>
      </c>
    </row>
    <row r="22" spans="1:9" x14ac:dyDescent="0.25">
      <c r="A22" s="5">
        <v>2022</v>
      </c>
      <c r="B22" s="3">
        <f>VLOOKUP(Данные[[#This Row],[Год]],'Сырые данные'!$A$5:$E$26,3,TRUE)</f>
        <v>-0.37258001335165047</v>
      </c>
      <c r="C22" s="3">
        <f>VLOOKUP(Данные[[#This Row],[Год]],'Сырые данные'!$A$5:$E$26,5,0)</f>
        <v>3.8274182324286921E-2</v>
      </c>
      <c r="D22" s="11">
        <v>9.6000000000000002E-2</v>
      </c>
      <c r="E22" s="3">
        <v>0.11940000000000001</v>
      </c>
      <c r="F22" s="47">
        <f t="shared" si="0"/>
        <v>4.5312149135749111</v>
      </c>
      <c r="G22" s="4">
        <f>IF(Настройки!$B$6="да",'Исходные данные'!G21*(1+'Исходные данные'!E21),Настройки!$B$2)</f>
        <v>465508.0534760718</v>
      </c>
      <c r="H22" s="2">
        <f>IFERROR(VLOOKUP(A22,Таблица18[#All],2,FALSE),0)</f>
        <v>0</v>
      </c>
      <c r="I22" s="4">
        <f>Данные[[#This Row],[Взнос с индексацией]]+Данные[[#This Row],[Разовый взнос]]</f>
        <v>465508.0534760718</v>
      </c>
    </row>
    <row r="23" spans="1:9" x14ac:dyDescent="0.25">
      <c r="A23" s="5">
        <v>2023</v>
      </c>
      <c r="B23" s="3">
        <f>VLOOKUP(Данные[[#This Row],[Год]],'Сырые данные'!$A$5:$E$26,3,TRUE)</f>
        <v>0.53835060521190137</v>
      </c>
      <c r="C23" s="3">
        <f>VLOOKUP(Данные[[#This Row],[Год]],'Сырые данные'!$A$5:$E$26,5,0)</f>
        <v>7.6015170339369664E-3</v>
      </c>
      <c r="D23" s="11">
        <v>8.5999999999999993E-2</v>
      </c>
      <c r="E23" s="3">
        <v>7.4200000000000002E-2</v>
      </c>
      <c r="F23" s="47">
        <f t="shared" si="0"/>
        <v>4.8674310601621693</v>
      </c>
      <c r="G23" s="4">
        <f>IF(Настройки!$B$6="да",'Исходные данные'!G22*(1+'Исходные данные'!E22),Настройки!$B$2)</f>
        <v>521089.71506111475</v>
      </c>
      <c r="H23" s="2">
        <f>IFERROR(VLOOKUP(A23,Таблица18[#All],2,FALSE),0)</f>
        <v>0</v>
      </c>
      <c r="I23" s="4">
        <f>Данные[[#This Row],[Взнос с индексацией]]+Данные[[#This Row],[Разовый взнос]]</f>
        <v>521089.71506111475</v>
      </c>
    </row>
    <row r="24" spans="1:9" x14ac:dyDescent="0.25">
      <c r="A24" s="5">
        <v>2024</v>
      </c>
      <c r="B24" s="3">
        <f>VLOOKUP(Данные[[#This Row],[Год]],'Сырые данные'!$A$5:$E$26,3,TRUE)</f>
        <v>1.6368282059196826E-2</v>
      </c>
      <c r="C24" s="3">
        <f>VLOOKUP(Данные[[#This Row],[Год]],'Сырые данные'!$A$5:$E$26,5,0)</f>
        <v>-8.6555153560361475E-2</v>
      </c>
      <c r="D24" s="11">
        <v>0.153</v>
      </c>
      <c r="E24" s="3">
        <v>9.5200000000000007E-2</v>
      </c>
      <c r="F24" s="47">
        <f t="shared" si="0"/>
        <v>5.3308104970896073</v>
      </c>
      <c r="G24" s="4">
        <f>IF(Настройки!$B$6="да",'Исходные данные'!G23*(1+'Исходные данные'!E23),Настройки!$B$2)</f>
        <v>559754.57191864948</v>
      </c>
      <c r="H24" s="2">
        <f>IFERROR(VLOOKUP(A24,Таблица18[#All],2,FALSE),0)</f>
        <v>0</v>
      </c>
      <c r="I24" s="4">
        <f>Данные[[#This Row],[Взнос с индексацией]]+Данные[[#This Row],[Разовый взнос]]</f>
        <v>559754.57191864948</v>
      </c>
    </row>
    <row r="25" spans="1:9" x14ac:dyDescent="0.25">
      <c r="C25" s="2"/>
      <c r="D25" s="3"/>
      <c r="E25" s="3"/>
      <c r="F25" s="3"/>
      <c r="G25" s="3"/>
    </row>
    <row r="26" spans="1:9" x14ac:dyDescent="0.25">
      <c r="C26" s="2"/>
      <c r="D26" s="3"/>
      <c r="E26" s="3"/>
      <c r="F26" s="3"/>
      <c r="G26" s="3"/>
    </row>
    <row r="27" spans="1:9" x14ac:dyDescent="0.25">
      <c r="C27" s="2"/>
      <c r="E27" s="3"/>
      <c r="F27" s="3"/>
      <c r="G27" s="3"/>
    </row>
    <row r="28" spans="1:9" x14ac:dyDescent="0.25">
      <c r="C28" s="2"/>
      <c r="E28" s="3"/>
      <c r="G28" s="3"/>
    </row>
    <row r="29" spans="1:9" x14ac:dyDescent="0.25">
      <c r="C29" s="2"/>
      <c r="E29" s="3"/>
      <c r="G29" s="3"/>
    </row>
    <row r="30" spans="1:9" x14ac:dyDescent="0.25">
      <c r="C30" s="2"/>
      <c r="G30" s="3"/>
    </row>
    <row r="31" spans="1:9" x14ac:dyDescent="0.25">
      <c r="C31" s="2"/>
    </row>
    <row r="32" spans="1:9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>
    <tabColor rgb="FFFFFF00"/>
  </sheetPr>
  <dimension ref="A1:N25"/>
  <sheetViews>
    <sheetView workbookViewId="0">
      <selection activeCell="K4" sqref="K4"/>
    </sheetView>
  </sheetViews>
  <sheetFormatPr defaultRowHeight="15" x14ac:dyDescent="0.25"/>
  <cols>
    <col min="2" max="2" width="18.42578125" customWidth="1"/>
    <col min="3" max="3" width="15.85546875" customWidth="1"/>
    <col min="4" max="4" width="18.28515625" customWidth="1"/>
    <col min="5" max="5" width="29.28515625" customWidth="1"/>
    <col min="6" max="6" width="27.7109375" customWidth="1"/>
    <col min="7" max="7" width="15" customWidth="1"/>
    <col min="8" max="8" width="25.42578125" customWidth="1"/>
    <col min="9" max="9" width="30.7109375" customWidth="1"/>
    <col min="10" max="10" width="27" customWidth="1"/>
    <col min="11" max="11" width="23" customWidth="1"/>
    <col min="12" max="12" width="22.5703125" customWidth="1"/>
  </cols>
  <sheetData>
    <row r="1" spans="1:14" ht="21" x14ac:dyDescent="0.35">
      <c r="A1" s="75" t="s">
        <v>35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3"/>
      <c r="N1" s="13"/>
    </row>
    <row r="2" spans="1:14" ht="28.5" customHeight="1" x14ac:dyDescent="0.25">
      <c r="A2" s="77" t="s">
        <v>36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13"/>
      <c r="N2" s="13"/>
    </row>
    <row r="3" spans="1:14" ht="60" customHeight="1" x14ac:dyDescent="0.25">
      <c r="A3" t="s">
        <v>10</v>
      </c>
      <c r="B3" t="s">
        <v>37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  <c r="H3" s="14" t="s">
        <v>80</v>
      </c>
      <c r="I3" s="14" t="s">
        <v>79</v>
      </c>
      <c r="J3" s="14" t="s">
        <v>38</v>
      </c>
      <c r="K3" s="14" t="s">
        <v>83</v>
      </c>
      <c r="L3" s="17" t="s">
        <v>59</v>
      </c>
    </row>
    <row r="4" spans="1:14" x14ac:dyDescent="0.25">
      <c r="A4">
        <v>2004</v>
      </c>
      <c r="B4" s="18">
        <f>IF(AND(Таблица5[[#This Row],[Год]]&gt;=Настройки!$B$4, Таблица5[[#This Row],[Год]]&lt;=Настройки!$B$5), IFERROR(VLOOKUP(Таблица5[[#This Row],[Год]],Данные[#All],9,FALSE),0), 0)</f>
        <v>115000</v>
      </c>
      <c r="C4">
        <f>VLOOKUP(Настройки!$B$7,Настройки!$L$1:$N$14,2,FALSE)</f>
        <v>1</v>
      </c>
      <c r="D4">
        <f>VLOOKUP(Настройки!$B$7,Настройки!$L$1:$N$14,3,FALSE)</f>
        <v>0</v>
      </c>
      <c r="E4" s="15">
        <f>C4*VLOOKUP(A4,Данные[#All],2,FALSE)+'Калькулятор стратегий'!D4*VLOOKUP(A4,Данные[#All],3,FALSE)+(1-C4-D4)*VLOOKUP(A4,Данные[#All],4,FALSE)</f>
        <v>7.2875988420664006E-2</v>
      </c>
      <c r="F4" s="18">
        <v>0</v>
      </c>
      <c r="G4" s="4">
        <f>(F4+B4)*E4</f>
        <v>8380.7386683763616</v>
      </c>
      <c r="H4" s="4">
        <f>F4+B4+G4</f>
        <v>123380.73866837636</v>
      </c>
      <c r="I4" s="4">
        <f>SUM($B$4:B4)</f>
        <v>115000</v>
      </c>
      <c r="J4" s="3">
        <f>IFERROR((H4-I4)/I4,"")</f>
        <v>7.287598842066402E-2</v>
      </c>
      <c r="K4" s="3">
        <f>IFERROR((1+J4)/(VLOOKUP(A4,Данные[#All],6,FALSE))-1,"")</f>
        <v>-3.9846081599548944E-2</v>
      </c>
      <c r="L4" s="3">
        <f>IFERROR((H4/I4)^((1/(A4-$A$4+1)))-1,"")</f>
        <v>7.2875988420664006E-2</v>
      </c>
    </row>
    <row r="5" spans="1:14" x14ac:dyDescent="0.25">
      <c r="A5">
        <v>2005</v>
      </c>
      <c r="B5" s="18">
        <f>IF(AND(Таблица5[[#This Row],[Год]]&gt;=Настройки!$B$4, Таблица5[[#This Row],[Год]]&lt;=Настройки!$B$5), IFERROR(VLOOKUP(Таблица5[[#This Row],[Год]],Данные[#All],9,FALSE),0), 0)</f>
        <v>128501</v>
      </c>
      <c r="C5">
        <f>VLOOKUP(Настройки!$B$7,Настройки!$L$1:$N$14,2,FALSE)</f>
        <v>1</v>
      </c>
      <c r="D5">
        <f>VLOOKUP(Настройки!$B$7,Настройки!$L$1:$N$14,3,FALSE)</f>
        <v>0</v>
      </c>
      <c r="E5" s="15">
        <f>C5*VLOOKUP(A5,Данные[#All],2,FALSE)+'Калькулятор стратегий'!D5*VLOOKUP(A5,Данные[#All],3,FALSE)+(1-C5-D5)*VLOOKUP(A5,Данные[#All],4,FALSE)</f>
        <v>0.84873782188258295</v>
      </c>
      <c r="F5" s="18">
        <f>H4</f>
        <v>123380.73866837636</v>
      </c>
      <c r="G5" s="4">
        <f t="shared" ref="G5:G24" si="0">(F5+B5)*E5</f>
        <v>213781.55824939572</v>
      </c>
      <c r="H5" s="4">
        <f t="shared" ref="H5:H23" si="1">F5+B5+G5</f>
        <v>465663.29691777204</v>
      </c>
      <c r="I5" s="4">
        <f>SUM($B$4:B5)</f>
        <v>243501</v>
      </c>
      <c r="J5" s="3">
        <f>IFERROR((H5-I5)/I5,"")</f>
        <v>0.91236708234369479</v>
      </c>
      <c r="K5" s="3">
        <f>IFERROR((1+J5)/(VLOOKUP(A5,Данные[#All],6,FALSE))-1,"")</f>
        <v>0.54309223993739497</v>
      </c>
      <c r="L5" s="3">
        <f t="shared" ref="L5:L24" si="2">IFERROR((H5/I5)^((1/(A5-$A$4+1)))-1,"")</f>
        <v>0.38288361127887227</v>
      </c>
    </row>
    <row r="6" spans="1:14" x14ac:dyDescent="0.25">
      <c r="A6">
        <v>2006</v>
      </c>
      <c r="B6" s="18">
        <f>IF(AND(Таблица5[[#This Row],[Год]]&gt;=Настройки!$B$4, Таблица5[[#This Row],[Год]]&lt;=Настройки!$B$5), IFERROR(VLOOKUP(Таблица5[[#This Row],[Год]],Данные[#All],9,FALSE),0), 0)</f>
        <v>142520.45910000001</v>
      </c>
      <c r="C6">
        <f>VLOOKUP(Настройки!$B$7,Настройки!$L$1:$N$14,2,FALSE)</f>
        <v>1</v>
      </c>
      <c r="D6">
        <f>VLOOKUP(Настройки!$B$7,Настройки!$L$1:$N$14,3,FALSE)</f>
        <v>0</v>
      </c>
      <c r="E6" s="15">
        <f>C6*VLOOKUP(A6,Данные[#All],2,FALSE)+'Калькулятор стратегий'!D6*VLOOKUP(A6,Данные[#All],3,FALSE)+(1-C6-D6)*VLOOKUP(A6,Данные[#All],4,FALSE)</f>
        <v>0.6980145164608047</v>
      </c>
      <c r="F6" s="18">
        <f t="shared" ref="F6:F23" si="3">H5</f>
        <v>465663.29691777204</v>
      </c>
      <c r="G6" s="4">
        <f t="shared" si="0"/>
        <v>424521.09037606115</v>
      </c>
      <c r="H6" s="4">
        <f t="shared" si="1"/>
        <v>1032704.8463938332</v>
      </c>
      <c r="I6" s="4">
        <f>SUM($B$4:B6)</f>
        <v>386021.45909999998</v>
      </c>
      <c r="J6" s="3">
        <f t="shared" ref="J6:J24" si="4">IFERROR((H6-I6)/I6,"")</f>
        <v>1.6752524297523781</v>
      </c>
      <c r="K6" s="3">
        <f>IFERROR((1+J6)/(VLOOKUP(A6,Данные[#All],6,FALSE))-1,"")</f>
        <v>0.98042726582132045</v>
      </c>
      <c r="L6" s="3">
        <f t="shared" si="2"/>
        <v>0.38820921323091295</v>
      </c>
    </row>
    <row r="7" spans="1:14" x14ac:dyDescent="0.25">
      <c r="A7">
        <v>2007</v>
      </c>
      <c r="B7" s="18">
        <f>IF(AND(Таблица5[[#This Row],[Год]]&gt;=Настройки!$B$4, Таблица5[[#This Row],[Год]]&lt;=Настройки!$B$5), IFERROR(VLOOKUP(Таблица5[[#This Row],[Год]],Данные[#All],9,FALSE),0), 0)</f>
        <v>155347.30041900001</v>
      </c>
      <c r="C7">
        <f>VLOOKUP(Настройки!$B$7,Настройки!$L$1:$N$14,2,FALSE)</f>
        <v>1</v>
      </c>
      <c r="D7">
        <f>VLOOKUP(Настройки!$B$7,Настройки!$L$1:$N$14,3,FALSE)</f>
        <v>0</v>
      </c>
      <c r="E7" s="15">
        <f>C7*VLOOKUP(A7,Данные[#All],2,FALSE)+'Калькулятор стратегий'!D7*VLOOKUP(A7,Данные[#All],3,FALSE)+(1-C7-D7)*VLOOKUP(A7,Данные[#All],4,FALSE)</f>
        <v>0.12651137569800164</v>
      </c>
      <c r="F7" s="18">
        <f t="shared" si="3"/>
        <v>1032704.8463938332</v>
      </c>
      <c r="G7" s="4">
        <f t="shared" si="0"/>
        <v>150302.11149425575</v>
      </c>
      <c r="H7" s="4">
        <f t="shared" si="1"/>
        <v>1338354.2583070889</v>
      </c>
      <c r="I7" s="4">
        <f>SUM($B$4:B7)</f>
        <v>541368.75951899996</v>
      </c>
      <c r="J7" s="3">
        <f t="shared" si="4"/>
        <v>1.4721675101758762</v>
      </c>
      <c r="K7" s="3">
        <f>IFERROR((1+J7)/(VLOOKUP(A7,Данные[#All],6,FALSE))-1,"")</f>
        <v>0.63590615412751794</v>
      </c>
      <c r="L7" s="3">
        <f t="shared" si="2"/>
        <v>0.25391897273464159</v>
      </c>
    </row>
    <row r="8" spans="1:14" x14ac:dyDescent="0.25">
      <c r="A8">
        <v>2008</v>
      </c>
      <c r="B8" s="18">
        <f>IF(AND(Таблица5[[#This Row],[Год]]&gt;=Настройки!$B$4, Таблица5[[#This Row],[Год]]&lt;=Настройки!$B$5), IFERROR(VLOOKUP(Таблица5[[#This Row],[Год]],Данные[#All],9,FALSE),0), 0)</f>
        <v>173787.02497873531</v>
      </c>
      <c r="C8">
        <f>VLOOKUP(Настройки!$B$7,Настройки!$L$1:$N$14,2,FALSE)</f>
        <v>1</v>
      </c>
      <c r="D8">
        <f>VLOOKUP(Настройки!$B$7,Настройки!$L$1:$N$14,3,FALSE)</f>
        <v>0</v>
      </c>
      <c r="E8" s="15">
        <f>C8*VLOOKUP(A8,Данные[#All],2,FALSE)+'Калькулятор стратегий'!D8*VLOOKUP(A8,Данные[#All],3,FALSE)+(1-C8-D8)*VLOOKUP(A8,Данные[#All],4,FALSE)</f>
        <v>-0.66608460541880243</v>
      </c>
      <c r="F8" s="18">
        <f t="shared" si="3"/>
        <v>1338354.2583070889</v>
      </c>
      <c r="G8" s="4">
        <f t="shared" si="0"/>
        <v>-1007214.0300149197</v>
      </c>
      <c r="H8" s="4">
        <f t="shared" si="1"/>
        <v>504927.25327090442</v>
      </c>
      <c r="I8" s="4">
        <f>SUM($B$4:B8)</f>
        <v>715155.78449773532</v>
      </c>
      <c r="J8" s="3">
        <f t="shared" si="4"/>
        <v>-0.29396186926527845</v>
      </c>
      <c r="K8" s="3">
        <f>IFERROR((1+J8)/(VLOOKUP(A8,Данные[#All],6,FALSE))-1,"")</f>
        <v>-0.5875651001257356</v>
      </c>
      <c r="L8" s="3">
        <f t="shared" si="2"/>
        <v>-6.7249197648803105E-2</v>
      </c>
    </row>
    <row r="9" spans="1:14" x14ac:dyDescent="0.25">
      <c r="A9">
        <v>2009</v>
      </c>
      <c r="B9" s="18">
        <f>IF(AND(Таблица5[[#This Row],[Год]]&gt;=Настройки!$B$4, Таблица5[[#This Row],[Год]]&lt;=Настройки!$B$5), IFERROR(VLOOKUP(Таблица5[[#This Row],[Год]],Данные[#All],9,FALSE),0), 0)</f>
        <v>196865.94189591135</v>
      </c>
      <c r="C9">
        <f>VLOOKUP(Настройки!$B$7,Настройки!$L$1:$N$14,2,FALSE)</f>
        <v>1</v>
      </c>
      <c r="D9">
        <f>VLOOKUP(Настройки!$B$7,Настройки!$L$1:$N$14,3,FALSE)</f>
        <v>0</v>
      </c>
      <c r="E9" s="15">
        <f>C9*VLOOKUP(A9,Данные[#All],2,FALSE)+'Калькулятор стратегий'!D9*VLOOKUP(A9,Данные[#All],3,FALSE)+(1-C9-D9)*VLOOKUP(A9,Данные[#All],4,FALSE)</f>
        <v>1.2610875966139123</v>
      </c>
      <c r="F9" s="18">
        <f t="shared" si="3"/>
        <v>504927.25327090442</v>
      </c>
      <c r="G9" s="4">
        <f t="shared" si="0"/>
        <v>885022.69381291803</v>
      </c>
      <c r="H9" s="4">
        <f t="shared" si="1"/>
        <v>1586815.8889797339</v>
      </c>
      <c r="I9" s="4">
        <f>SUM($B$4:B9)</f>
        <v>912021.72639364668</v>
      </c>
      <c r="J9" s="3">
        <f t="shared" si="4"/>
        <v>0.73988825381867351</v>
      </c>
      <c r="K9" s="3">
        <f>IFERROR((1+J9)/(VLOOKUP(A9,Данные[#All],6,FALSE))-1,"")</f>
        <v>-6.5843344976999396E-2</v>
      </c>
      <c r="L9" s="3">
        <f t="shared" si="2"/>
        <v>9.6697599055200589E-2</v>
      </c>
    </row>
    <row r="10" spans="1:14" x14ac:dyDescent="0.25">
      <c r="A10">
        <v>2010</v>
      </c>
      <c r="B10" s="18">
        <f>IF(AND(Таблица5[[#This Row],[Год]]&gt;=Настройки!$B$4, Таблица5[[#This Row],[Год]]&lt;=Настройки!$B$5), IFERROR(VLOOKUP(Таблица5[[#This Row],[Год]],Данные[#All],9,FALSE),0), 0)</f>
        <v>214190.14478275157</v>
      </c>
      <c r="C10">
        <f>VLOOKUP(Настройки!$B$7,Настройки!$L$1:$N$14,2,FALSE)</f>
        <v>1</v>
      </c>
      <c r="D10">
        <f>VLOOKUP(Настройки!$B$7,Настройки!$L$1:$N$14,3,FALSE)</f>
        <v>0</v>
      </c>
      <c r="E10" s="15">
        <f>C10*VLOOKUP(A10,Данные[#All],2,FALSE)+'Калькулятор стратегий'!D10*VLOOKUP(A10,Данные[#All],3,FALSE)+(1-C10-D10)*VLOOKUP(A10,Данные[#All],4,FALSE)</f>
        <v>0.25284690147245326</v>
      </c>
      <c r="F10" s="18">
        <f t="shared" si="3"/>
        <v>1586815.8889797339</v>
      </c>
      <c r="G10" s="4">
        <f t="shared" si="0"/>
        <v>455378.79517003702</v>
      </c>
      <c r="H10" s="4">
        <f t="shared" si="1"/>
        <v>2256384.8289325223</v>
      </c>
      <c r="I10" s="4">
        <f>SUM($B$4:B10)</f>
        <v>1126211.8711763984</v>
      </c>
      <c r="J10" s="3">
        <f t="shared" si="4"/>
        <v>1.0035171770792897</v>
      </c>
      <c r="K10" s="3">
        <f>IFERROR((1+J10)/(VLOOKUP(A10,Данные[#All],6,FALSE))-1,"")</f>
        <v>-1.1122781898694645E-2</v>
      </c>
      <c r="L10" s="3">
        <f t="shared" si="2"/>
        <v>0.10436668187101672</v>
      </c>
    </row>
    <row r="11" spans="1:14" x14ac:dyDescent="0.25">
      <c r="A11">
        <v>2011</v>
      </c>
      <c r="B11" s="18">
        <f>IF(AND(Таблица5[[#This Row],[Год]]&gt;=Настройки!$B$4, Таблица5[[#This Row],[Год]]&lt;=Настройки!$B$5), IFERROR(VLOOKUP(Таблица5[[#This Row],[Год]],Данные[#All],9,FALSE),0), 0)</f>
        <v>232996.03949467718</v>
      </c>
      <c r="C11">
        <f>VLOOKUP(Настройки!$B$7,Настройки!$L$1:$N$14,2,FALSE)</f>
        <v>1</v>
      </c>
      <c r="D11">
        <f>VLOOKUP(Настройки!$B$7,Настройки!$L$1:$N$14,3,FALSE)</f>
        <v>0</v>
      </c>
      <c r="E11" s="15">
        <f>C11*VLOOKUP(A11,Данные[#All],2,FALSE)+'Калькулятор стратегий'!D11*VLOOKUP(A11,Данные[#All],3,FALSE)+(1-C11-D11)*VLOOKUP(A11,Данные[#All],4,FALSE)</f>
        <v>-0.14455313689293581</v>
      </c>
      <c r="F11" s="18">
        <f t="shared" si="3"/>
        <v>2256384.8289325223</v>
      </c>
      <c r="G11" s="4">
        <f t="shared" si="0"/>
        <v>-359847.81345241237</v>
      </c>
      <c r="H11" s="4">
        <f t="shared" si="1"/>
        <v>2129533.0549747869</v>
      </c>
      <c r="I11" s="4">
        <f>SUM($B$4:B11)</f>
        <v>1359207.9106710756</v>
      </c>
      <c r="J11" s="3">
        <f t="shared" si="4"/>
        <v>0.56674563049252868</v>
      </c>
      <c r="K11" s="3">
        <f>IFERROR((1+J11)/(VLOOKUP(A11,Данные[#All],6,FALSE))-1,"")</f>
        <v>-0.27115964709024243</v>
      </c>
      <c r="L11" s="3">
        <f t="shared" si="2"/>
        <v>5.7729973845249249E-2</v>
      </c>
    </row>
    <row r="12" spans="1:14" x14ac:dyDescent="0.25">
      <c r="A12">
        <v>2012</v>
      </c>
      <c r="B12" s="18">
        <f>IF(AND(Таблица5[[#This Row],[Год]]&gt;=Настройки!$B$4, Таблица5[[#This Row],[Год]]&lt;=Настройки!$B$5), IFERROR(VLOOKUP(Таблица5[[#This Row],[Год]],Данные[#All],9,FALSE),0), 0)</f>
        <v>247208.79790385248</v>
      </c>
      <c r="C12">
        <f>VLOOKUP(Настройки!$B$7,Настройки!$L$1:$N$14,2,FALSE)</f>
        <v>1</v>
      </c>
      <c r="D12">
        <f>VLOOKUP(Настройки!$B$7,Настройки!$L$1:$N$14,3,FALSE)</f>
        <v>0</v>
      </c>
      <c r="E12" s="15">
        <f>C12*VLOOKUP(A12,Данные[#All],2,FALSE)+'Калькулятор стратегий'!D12*VLOOKUP(A12,Данные[#All],3,FALSE)+(1-C12-D12)*VLOOKUP(A12,Данные[#All],4,FALSE)</f>
        <v>8.7691986406697842E-2</v>
      </c>
      <c r="F12" s="18">
        <f t="shared" si="3"/>
        <v>2129533.0549747869</v>
      </c>
      <c r="G12" s="4">
        <f t="shared" si="0"/>
        <v>208421.2142548635</v>
      </c>
      <c r="H12" s="4">
        <f t="shared" si="1"/>
        <v>2585163.067133503</v>
      </c>
      <c r="I12" s="4">
        <f>SUM($B$4:B12)</f>
        <v>1606416.7085749281</v>
      </c>
      <c r="J12" s="3">
        <f t="shared" si="4"/>
        <v>0.60927301946879819</v>
      </c>
      <c r="K12" s="3">
        <f>IFERROR((1+J12)/(VLOOKUP(A12,Данные[#All],6,FALSE))-1,"")</f>
        <v>-0.29759445432898501</v>
      </c>
      <c r="L12" s="3">
        <f t="shared" si="2"/>
        <v>5.4287018122243236E-2</v>
      </c>
    </row>
    <row r="13" spans="1:14" x14ac:dyDescent="0.25">
      <c r="A13">
        <v>2013</v>
      </c>
      <c r="B13" s="18">
        <f>IF(AND(Таблица5[[#This Row],[Год]]&gt;=Настройки!$B$4, Таблица5[[#This Row],[Год]]&lt;=Настройки!$B$5), IFERROR(VLOOKUP(Таблица5[[#This Row],[Год]],Данные[#All],9,FALSE),0), 0)</f>
        <v>263475.13680592598</v>
      </c>
      <c r="C13">
        <f>VLOOKUP(Настройки!$B$7,Настройки!$L$1:$N$14,2,FALSE)</f>
        <v>1</v>
      </c>
      <c r="D13">
        <f>VLOOKUP(Настройки!$B$7,Настройки!$L$1:$N$14,3,FALSE)</f>
        <v>0</v>
      </c>
      <c r="E13" s="15">
        <f>C13*VLOOKUP(A13,Данные[#All],2,FALSE)+'Калькулятор стратегий'!D13*VLOOKUP(A13,Данные[#All],3,FALSE)+(1-C13-D13)*VLOOKUP(A13,Данные[#All],4,FALSE)</f>
        <v>6.3150178035327853E-2</v>
      </c>
      <c r="F13" s="18">
        <f t="shared" si="3"/>
        <v>2585163.067133503</v>
      </c>
      <c r="G13" s="4">
        <f t="shared" si="0"/>
        <v>179892.00973701151</v>
      </c>
      <c r="H13" s="4">
        <f t="shared" si="1"/>
        <v>3028530.2136764405</v>
      </c>
      <c r="I13" s="4">
        <f>SUM($B$4:B13)</f>
        <v>1869891.8453808541</v>
      </c>
      <c r="J13" s="3">
        <f t="shared" si="4"/>
        <v>0.61962854758564834</v>
      </c>
      <c r="K13" s="3">
        <f>IFERROR((1+J13)/(VLOOKUP(A13,Данные[#All],6,FALSE))-1,"")</f>
        <v>-0.33590844282909016</v>
      </c>
      <c r="L13" s="3">
        <f t="shared" si="2"/>
        <v>4.9401165740742492E-2</v>
      </c>
    </row>
    <row r="14" spans="1:14" x14ac:dyDescent="0.25">
      <c r="A14">
        <v>2014</v>
      </c>
      <c r="B14" s="18">
        <f>IF(AND(Таблица5[[#This Row],[Год]]&gt;=Настройки!$B$4, Таблица5[[#This Row],[Год]]&lt;=Настройки!$B$5), IFERROR(VLOOKUP(Таблица5[[#This Row],[Год]],Данные[#All],9,FALSE),0), 0)</f>
        <v>280469.2831299082</v>
      </c>
      <c r="C14">
        <f>VLOOKUP(Настройки!$B$7,Настройки!$L$1:$N$14,2,FALSE)</f>
        <v>1</v>
      </c>
      <c r="D14">
        <f>VLOOKUP(Настройки!$B$7,Настройки!$L$1:$N$14,3,FALSE)</f>
        <v>0</v>
      </c>
      <c r="E14" s="15">
        <f>C14*VLOOKUP(A14,Данные[#All],2,FALSE)+'Калькулятор стратегий'!D14*VLOOKUP(A14,Данные[#All],3,FALSE)+(1-C14-D14)*VLOOKUP(A14,Данные[#All],4,FALSE)</f>
        <v>-1.8442510808296397E-2</v>
      </c>
      <c r="F14" s="18">
        <f t="shared" si="3"/>
        <v>3028530.2136764405</v>
      </c>
      <c r="G14" s="4">
        <f t="shared" si="0"/>
        <v>-61026.258984498425</v>
      </c>
      <c r="H14" s="4">
        <f t="shared" si="1"/>
        <v>3247973.2378218505</v>
      </c>
      <c r="I14" s="4">
        <f>SUM($B$4:B14)</f>
        <v>2150361.1285107625</v>
      </c>
      <c r="J14" s="3">
        <f t="shared" si="4"/>
        <v>0.51043152462081653</v>
      </c>
      <c r="K14" s="3">
        <f>IFERROR((1+J14)/(VLOOKUP(A14,Данные[#All],6,FALSE))-1,"")</f>
        <v>-0.44385971519053324</v>
      </c>
      <c r="L14" s="3">
        <f t="shared" si="2"/>
        <v>3.8202123533977117E-2</v>
      </c>
    </row>
    <row r="15" spans="1:14" x14ac:dyDescent="0.25">
      <c r="A15">
        <v>2015</v>
      </c>
      <c r="B15" s="18">
        <f>IF(AND(Таблица5[[#This Row],[Год]]&gt;=Настройки!$B$4, Таблица5[[#This Row],[Год]]&lt;=Настройки!$B$5), IFERROR(VLOOKUP(Таблица5[[#This Row],[Год]],Данные[#All],9,FALSE),0), 0)</f>
        <v>312330.59369346575</v>
      </c>
      <c r="C15">
        <f>VLOOKUP(Настройки!$B$7,Настройки!$L$1:$N$14,2,FALSE)</f>
        <v>1</v>
      </c>
      <c r="D15">
        <f>VLOOKUP(Настройки!$B$7,Настройки!$L$1:$N$14,3,FALSE)</f>
        <v>0</v>
      </c>
      <c r="E15" s="15">
        <f>C15*VLOOKUP(A15,Данные[#All],2,FALSE)+'Калькулятор стратегий'!D15*VLOOKUP(A15,Данные[#All],3,FALSE)+(1-C15-D15)*VLOOKUP(A15,Данные[#All],4,FALSE)</f>
        <v>0.32275312221231034</v>
      </c>
      <c r="F15" s="18">
        <f t="shared" si="3"/>
        <v>3247973.2378218505</v>
      </c>
      <c r="G15" s="4">
        <f t="shared" si="0"/>
        <v>1149099.1776460197</v>
      </c>
      <c r="H15" s="4">
        <f t="shared" si="1"/>
        <v>4709403.0091613363</v>
      </c>
      <c r="I15" s="4">
        <f>SUM($B$4:B15)</f>
        <v>2462691.7222042284</v>
      </c>
      <c r="J15" s="3">
        <f t="shared" si="4"/>
        <v>0.91229903714712313</v>
      </c>
      <c r="K15" s="3">
        <f>IFERROR((1+J15)/(VLOOKUP(A15,Данные[#All],6,FALSE))-1,"")</f>
        <v>-0.37639912974511813</v>
      </c>
      <c r="L15" s="3">
        <f t="shared" si="2"/>
        <v>5.5511535174530335E-2</v>
      </c>
    </row>
    <row r="16" spans="1:14" x14ac:dyDescent="0.25">
      <c r="A16">
        <v>2016</v>
      </c>
      <c r="B16" s="18">
        <f>IF(AND(Таблица5[[#This Row],[Год]]&gt;=Настройки!$B$4, Таблица5[[#This Row],[Год]]&lt;=Настройки!$B$5), IFERROR(VLOOKUP(Таблица5[[#This Row],[Год]],Данные[#All],9,FALSE),0), 0)</f>
        <v>352652.47333929216</v>
      </c>
      <c r="C16">
        <f>VLOOKUP(Настройки!$B$7,Настройки!$L$1:$N$14,2,FALSE)</f>
        <v>1</v>
      </c>
      <c r="D16">
        <f>VLOOKUP(Настройки!$B$7,Настройки!$L$1:$N$14,3,FALSE)</f>
        <v>0</v>
      </c>
      <c r="E16" s="15">
        <f>C16*VLOOKUP(A16,Данные[#All],2,FALSE)+'Калькулятор стратегий'!D16*VLOOKUP(A16,Данные[#All],3,FALSE)+(1-C16-D16)*VLOOKUP(A16,Данные[#All],4,FALSE)</f>
        <v>0.32780327841213253</v>
      </c>
      <c r="F16" s="18">
        <f t="shared" si="3"/>
        <v>4709403.0091613363</v>
      </c>
      <c r="G16" s="4">
        <f t="shared" si="0"/>
        <v>1659358.3826678153</v>
      </c>
      <c r="H16" s="4">
        <f t="shared" si="1"/>
        <v>6721413.8651684439</v>
      </c>
      <c r="I16" s="4">
        <f>SUM($B$4:B16)</f>
        <v>2815344.1955435206</v>
      </c>
      <c r="J16" s="3">
        <f t="shared" si="4"/>
        <v>1.3874217141221807</v>
      </c>
      <c r="K16" s="3">
        <f>IFERROR((1+J16)/(VLOOKUP(A16,Данные[#All],6,FALSE))-1,"")</f>
        <v>-0.26120856563044037</v>
      </c>
      <c r="L16" s="3">
        <f t="shared" si="2"/>
        <v>6.9230829121039505E-2</v>
      </c>
    </row>
    <row r="17" spans="1:12" x14ac:dyDescent="0.25">
      <c r="A17">
        <v>2017</v>
      </c>
      <c r="B17" s="18">
        <f>IF(AND(Таблица5[[#This Row],[Год]]&gt;=Настройки!$B$4, Таблица5[[#This Row],[Год]]&lt;=Настройки!$B$5), IFERROR(VLOOKUP(Таблица5[[#This Row],[Год]],Данные[#All],9,FALSE),0), 0)</f>
        <v>371625.17640494613</v>
      </c>
      <c r="C17">
        <f>VLOOKUP(Настройки!$B$7,Настройки!$L$1:$N$14,2,FALSE)</f>
        <v>1</v>
      </c>
      <c r="D17">
        <f>VLOOKUP(Настройки!$B$7,Настройки!$L$1:$N$14,3,FALSE)</f>
        <v>0</v>
      </c>
      <c r="E17" s="15">
        <f>C17*VLOOKUP(A17,Данные[#All],2,FALSE)+'Калькулятор стратегий'!D17*VLOOKUP(A17,Данные[#All],3,FALSE)+(1-C17-D17)*VLOOKUP(A17,Данные[#All],4,FALSE)</f>
        <v>-1.8601993524219873E-3</v>
      </c>
      <c r="F17" s="18">
        <f t="shared" si="3"/>
        <v>6721413.8651684439</v>
      </c>
      <c r="G17" s="4">
        <f t="shared" si="0"/>
        <v>-13194.466631838694</v>
      </c>
      <c r="H17" s="4">
        <f t="shared" si="1"/>
        <v>7079844.5749415513</v>
      </c>
      <c r="I17" s="4">
        <f>SUM($B$4:B17)</f>
        <v>3186969.3719484666</v>
      </c>
      <c r="J17" s="3">
        <f t="shared" si="4"/>
        <v>1.2214975259122234</v>
      </c>
      <c r="K17" s="3">
        <f>IFERROR((1+J17)/(VLOOKUP(A17,Данные[#All],6,FALSE))-1,"")</f>
        <v>-0.32945188131329128</v>
      </c>
      <c r="L17" s="3">
        <f t="shared" si="2"/>
        <v>5.8669537446133235E-2</v>
      </c>
    </row>
    <row r="18" spans="1:12" x14ac:dyDescent="0.25">
      <c r="A18">
        <v>2018</v>
      </c>
      <c r="B18" s="18">
        <f>IF(AND(Таблица5[[#This Row],[Год]]&gt;=Настройки!$B$4, Таблица5[[#This Row],[Год]]&lt;=Настройки!$B$5), IFERROR(VLOOKUP(Таблица5[[#This Row],[Год]],Данные[#All],9,FALSE),0), 0)</f>
        <v>380990.13085035072</v>
      </c>
      <c r="C18">
        <f>VLOOKUP(Настройки!$B$7,Настройки!$L$1:$N$14,2,FALSE)</f>
        <v>1</v>
      </c>
      <c r="D18">
        <f>VLOOKUP(Настройки!$B$7,Настройки!$L$1:$N$14,3,FALSE)</f>
        <v>0</v>
      </c>
      <c r="E18" s="15">
        <f>C18*VLOOKUP(A18,Данные[#All],2,FALSE)+'Калькулятор стратегий'!D18*VLOOKUP(A18,Данные[#All],3,FALSE)+(1-C18-D18)*VLOOKUP(A18,Данные[#All],4,FALSE)</f>
        <v>0.19085404250176485</v>
      </c>
      <c r="F18" s="18">
        <f t="shared" si="3"/>
        <v>7079844.5749415513</v>
      </c>
      <c r="G18" s="4">
        <f t="shared" si="0"/>
        <v>1423930.4640378498</v>
      </c>
      <c r="H18" s="4">
        <f t="shared" si="1"/>
        <v>8884765.1698297523</v>
      </c>
      <c r="I18" s="4">
        <f>SUM($B$4:B18)</f>
        <v>3567959.5027988171</v>
      </c>
      <c r="J18" s="3">
        <f t="shared" si="4"/>
        <v>1.4901530308458573</v>
      </c>
      <c r="K18" s="3">
        <f>IFERROR((1+J18)/(VLOOKUP(A18,Данные[#All],6,FALSE))-1,"")</f>
        <v>-0.27914024789899017</v>
      </c>
      <c r="L18" s="3">
        <f t="shared" si="2"/>
        <v>6.2710738695248125E-2</v>
      </c>
    </row>
    <row r="19" spans="1:12" x14ac:dyDescent="0.25">
      <c r="A19">
        <v>2019</v>
      </c>
      <c r="B19" s="18">
        <f>IF(AND(Таблица5[[#This Row],[Год]]&gt;=Настройки!$B$4, Таблица5[[#This Row],[Год]]&lt;=Настройки!$B$5), IFERROR(VLOOKUP(Таблица5[[#This Row],[Год]],Данные[#All],9,FALSE),0), 0)</f>
        <v>397258.40943766065</v>
      </c>
      <c r="C19">
        <f>VLOOKUP(Настройки!$B$7,Настройки!$L$1:$N$14,2,FALSE)</f>
        <v>1</v>
      </c>
      <c r="D19">
        <f>VLOOKUP(Настройки!$B$7,Настройки!$L$1:$N$14,3,FALSE)</f>
        <v>0</v>
      </c>
      <c r="E19" s="15">
        <f>C19*VLOOKUP(A19,Данные[#All],2,FALSE)+'Калькулятор стратегий'!D19*VLOOKUP(A19,Данные[#All],3,FALSE)+(1-C19-D19)*VLOOKUP(A19,Данные[#All],4,FALSE)</f>
        <v>0.38450773811908312</v>
      </c>
      <c r="F19" s="18">
        <f t="shared" si="3"/>
        <v>8884765.1698297523</v>
      </c>
      <c r="G19" s="4">
        <f t="shared" si="0"/>
        <v>3569009.8916321089</v>
      </c>
      <c r="H19" s="4">
        <f t="shared" si="1"/>
        <v>12851033.470899522</v>
      </c>
      <c r="I19" s="4">
        <f>SUM($B$4:B19)</f>
        <v>3965217.9122364777</v>
      </c>
      <c r="J19" s="3">
        <f t="shared" si="4"/>
        <v>2.2409400328899531</v>
      </c>
      <c r="K19" s="3">
        <f>IFERROR((1+J19)/(VLOOKUP(A19,Данные[#All],6,FALSE))-1,"")</f>
        <v>-8.9567525787968449E-2</v>
      </c>
      <c r="L19" s="3">
        <f t="shared" si="2"/>
        <v>7.6259349503381868E-2</v>
      </c>
    </row>
    <row r="20" spans="1:12" x14ac:dyDescent="0.25">
      <c r="A20">
        <v>2020</v>
      </c>
      <c r="B20" s="18">
        <f>IF(AND(Таблица5[[#This Row],[Год]]&gt;=Настройки!$B$4, Таблица5[[#This Row],[Год]]&lt;=Настройки!$B$5), IFERROR(VLOOKUP(Таблица5[[#This Row],[Год]],Данные[#All],9,FALSE),0), 0)</f>
        <v>409374.7909255093</v>
      </c>
      <c r="C20">
        <f>VLOOKUP(Настройки!$B$7,Настройки!$L$1:$N$14,2,FALSE)</f>
        <v>1</v>
      </c>
      <c r="D20">
        <f>VLOOKUP(Настройки!$B$7,Настройки!$L$1:$N$14,3,FALSE)</f>
        <v>0</v>
      </c>
      <c r="E20" s="15">
        <f>C20*VLOOKUP(A20,Данные[#All],2,FALSE)+'Калькулятор стратегий'!D20*VLOOKUP(A20,Данные[#All],3,FALSE)+(1-C20-D20)*VLOOKUP(A20,Данные[#All],4,FALSE)</f>
        <v>0.14824795244028999</v>
      </c>
      <c r="F20" s="18">
        <f t="shared" si="3"/>
        <v>12851033.470899522</v>
      </c>
      <c r="G20" s="4">
        <f t="shared" si="0"/>
        <v>1965828.3733378658</v>
      </c>
      <c r="H20" s="4">
        <f t="shared" si="1"/>
        <v>15226236.635162897</v>
      </c>
      <c r="I20" s="4">
        <f>SUM($B$4:B20)</f>
        <v>4374592.7031619865</v>
      </c>
      <c r="J20" s="3">
        <f t="shared" si="4"/>
        <v>2.4806066914886191</v>
      </c>
      <c r="K20" s="3">
        <f>IFERROR((1+J20)/(VLOOKUP(A20,Данные[#All],6,FALSE))-1,"")</f>
        <v>-6.8002368714507822E-2</v>
      </c>
      <c r="L20" s="3">
        <f t="shared" si="2"/>
        <v>7.6123352472527772E-2</v>
      </c>
    </row>
    <row r="21" spans="1:12" x14ac:dyDescent="0.25">
      <c r="A21">
        <v>2021</v>
      </c>
      <c r="B21" s="18">
        <f>IF(AND(Таблица5[[#This Row],[Год]]&gt;=Настройки!$B$4, Таблица5[[#This Row],[Год]]&lt;=Настройки!$B$5), IFERROR(VLOOKUP(Таблица5[[#This Row],[Год]],Данные[#All],9,FALSE),0), 0)</f>
        <v>429475.09315995179</v>
      </c>
      <c r="C21">
        <f>VLOOKUP(Настройки!$B$7,Настройки!$L$1:$N$14,2,FALSE)</f>
        <v>1</v>
      </c>
      <c r="D21">
        <f>VLOOKUP(Настройки!$B$7,Настройки!$L$1:$N$14,3,FALSE)</f>
        <v>0</v>
      </c>
      <c r="E21" s="15">
        <f>C21*VLOOKUP(A21,Данные[#All],2,FALSE)+'Калькулятор стратегий'!D21*VLOOKUP(A21,Данные[#All],3,FALSE)+(1-C21-D21)*VLOOKUP(A21,Данные[#All],4,FALSE)</f>
        <v>0.21792711628367956</v>
      </c>
      <c r="F21" s="18">
        <f t="shared" si="3"/>
        <v>15226236.635162897</v>
      </c>
      <c r="G21" s="4">
        <f t="shared" si="0"/>
        <v>3411804.1103219795</v>
      </c>
      <c r="H21" s="4">
        <f t="shared" si="1"/>
        <v>19067515.838644829</v>
      </c>
      <c r="I21" s="4">
        <f>SUM($B$4:B21)</f>
        <v>4804067.7963219387</v>
      </c>
      <c r="J21" s="3">
        <f t="shared" si="4"/>
        <v>2.9690355438454019</v>
      </c>
      <c r="K21" s="3">
        <f>IFERROR((1+J21)/(VLOOKUP(A21,Данные[#All],6,FALSE))-1,"")</f>
        <v>-1.9481866889584976E-2</v>
      </c>
      <c r="L21" s="3">
        <f t="shared" si="2"/>
        <v>7.9593539825805415E-2</v>
      </c>
    </row>
    <row r="22" spans="1:12" x14ac:dyDescent="0.25">
      <c r="A22">
        <v>2022</v>
      </c>
      <c r="B22" s="18">
        <f>IF(AND(Таблица5[[#This Row],[Год]]&gt;=Настройки!$B$4, Таблица5[[#This Row],[Год]]&lt;=Настройки!$B$5), IFERROR(VLOOKUP(Таблица5[[#This Row],[Год]],Данные[#All],9,FALSE),0), 0)</f>
        <v>465508.0534760718</v>
      </c>
      <c r="C22">
        <f>VLOOKUP(Настройки!$B$7,Настройки!$L$1:$N$14,2,FALSE)</f>
        <v>1</v>
      </c>
      <c r="D22">
        <f>VLOOKUP(Настройки!$B$7,Настройки!$L$1:$N$14,3,FALSE)</f>
        <v>0</v>
      </c>
      <c r="E22" s="15">
        <f>C22*VLOOKUP(A22,Данные[#All],2,FALSE)+'Калькулятор стратегий'!D22*VLOOKUP(A22,Данные[#All],3,FALSE)+(1-C22-D22)*VLOOKUP(A22,Данные[#All],4,FALSE)</f>
        <v>-0.37258001335165047</v>
      </c>
      <c r="F22" s="18">
        <f t="shared" si="3"/>
        <v>19067515.838644829</v>
      </c>
      <c r="G22" s="4">
        <f t="shared" si="0"/>
        <v>-7277614.3025245136</v>
      </c>
      <c r="H22" s="4">
        <f t="shared" si="1"/>
        <v>12255409.589596387</v>
      </c>
      <c r="I22" s="4">
        <f>SUM($B$4:B22)</f>
        <v>5269575.8497980107</v>
      </c>
      <c r="J22" s="3">
        <f t="shared" si="4"/>
        <v>1.3256918467292111</v>
      </c>
      <c r="K22" s="3">
        <f>IFERROR((1+J22)/(VLOOKUP(A22,Данные[#All],6,FALSE))-1,"")</f>
        <v>-0.48673989402670992</v>
      </c>
      <c r="L22" s="3">
        <f t="shared" si="2"/>
        <v>4.5423406472198113E-2</v>
      </c>
    </row>
    <row r="23" spans="1:12" x14ac:dyDescent="0.25">
      <c r="A23">
        <v>2023</v>
      </c>
      <c r="B23" s="18">
        <f>IF(AND(Таблица5[[#This Row],[Год]]&gt;=Настройки!$B$4, Таблица5[[#This Row],[Год]]&lt;=Настройки!$B$5), IFERROR(VLOOKUP(Таблица5[[#This Row],[Год]],Данные[#All],9,FALSE),0), 0)</f>
        <v>521089.71506111475</v>
      </c>
      <c r="C23">
        <f>VLOOKUP(Настройки!$B$7,Настройки!$L$1:$N$14,2,FALSE)</f>
        <v>1</v>
      </c>
      <c r="D23">
        <f>VLOOKUP(Настройки!$B$7,Настройки!$L$1:$N$14,3,FALSE)</f>
        <v>0</v>
      </c>
      <c r="E23" s="15">
        <f>C23*VLOOKUP(A23,Данные[#All],2,FALSE)+'Калькулятор стратегий'!D23*VLOOKUP(A23,Данные[#All],3,FALSE)+(1-C23-D23)*VLOOKUP(A23,Данные[#All],4,FALSE)</f>
        <v>0.53835060521190137</v>
      </c>
      <c r="F23" s="18">
        <f t="shared" si="3"/>
        <v>12255409.589596387</v>
      </c>
      <c r="G23" s="4">
        <f t="shared" si="0"/>
        <v>6878236.1331518032</v>
      </c>
      <c r="H23" s="4">
        <f t="shared" si="1"/>
        <v>19654735.437809303</v>
      </c>
      <c r="I23" s="4">
        <f>SUM($B$4:B23)</f>
        <v>5790665.5648591258</v>
      </c>
      <c r="J23" s="3">
        <f t="shared" si="4"/>
        <v>2.3942100813220528</v>
      </c>
      <c r="K23" s="3">
        <f>IFERROR((1+J23)/(VLOOKUP(A23,Данные[#All],6,FALSE))-1,"")</f>
        <v>-0.30266910011274673</v>
      </c>
      <c r="L23" s="3">
        <f t="shared" si="2"/>
        <v>6.3008986403778833E-2</v>
      </c>
    </row>
    <row r="24" spans="1:12" x14ac:dyDescent="0.25">
      <c r="A24">
        <v>2024</v>
      </c>
      <c r="B24" s="18">
        <f>IF(AND(Таблица5[[#This Row],[Год]]&gt;=Настройки!$B$4, Таблица5[[#This Row],[Год]]&lt;=Настройки!$B$5), IFERROR(VLOOKUP(Таблица5[[#This Row],[Год]],Данные[#All],9,FALSE),0), 0)</f>
        <v>559754.57191864948</v>
      </c>
      <c r="C24">
        <f>VLOOKUP(Настройки!$B$7,Настройки!$L$1:$N$14,2,FALSE)</f>
        <v>1</v>
      </c>
      <c r="D24">
        <f>VLOOKUP(Настройки!$B$7,Настройки!$L$1:$N$14,3,FALSE)</f>
        <v>0</v>
      </c>
      <c r="E24" s="15">
        <f>C24*VLOOKUP(A24,Данные[#All],2,FALSE)+'Калькулятор стратегий'!D24*VLOOKUP(A24,Данные[#All],3,FALSE)+(1-C24-D24)*VLOOKUP(A24,Данные[#All],4,FALSE)</f>
        <v>1.6368282059196826E-2</v>
      </c>
      <c r="F24" s="18">
        <f>H23</f>
        <v>19654735.437809303</v>
      </c>
      <c r="G24" s="4">
        <f t="shared" si="0"/>
        <v>330876.47416204348</v>
      </c>
      <c r="H24" s="4">
        <f>F24+B24+G24</f>
        <v>20545366.483889993</v>
      </c>
      <c r="I24" s="4">
        <f>SUM($B$4:B24)</f>
        <v>6350420.1367777754</v>
      </c>
      <c r="J24" s="3">
        <f t="shared" si="4"/>
        <v>2.2352767283700983</v>
      </c>
      <c r="K24" s="3">
        <f>IFERROR((1+J24)/(VLOOKUP(A24,Данные[#All],6,FALSE))-1,"")</f>
        <v>-0.3930985297383166</v>
      </c>
      <c r="L24" s="3">
        <f t="shared" si="2"/>
        <v>5.7502729138598108E-2</v>
      </c>
    </row>
    <row r="25" spans="1:12" x14ac:dyDescent="0.25">
      <c r="A25" t="s">
        <v>58</v>
      </c>
      <c r="E25" s="61"/>
      <c r="H25" s="16"/>
      <c r="K25" s="3"/>
    </row>
  </sheetData>
  <mergeCells count="2">
    <mergeCell ref="A1:L1"/>
    <mergeCell ref="A2:L2"/>
  </mergeCells>
  <conditionalFormatting sqref="K4:K24">
    <cfRule type="cellIs" dxfId="262" priority="1" operator="greaterThan">
      <formula>0</formula>
    </cfRule>
    <cfRule type="cellIs" dxfId="261" priority="2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2891-BF4B-4F1E-9FFB-F44EA3B033CC}">
  <sheetPr codeName="Лист5">
    <tabColor theme="2"/>
  </sheetPr>
  <dimension ref="A1:U290"/>
  <sheetViews>
    <sheetView zoomScale="85" zoomScaleNormal="85" workbookViewId="0">
      <selection activeCell="O274" sqref="O274"/>
    </sheetView>
  </sheetViews>
  <sheetFormatPr defaultRowHeight="15" x14ac:dyDescent="0.25"/>
  <cols>
    <col min="1" max="1" width="16.140625" customWidth="1"/>
    <col min="3" max="3" width="13.140625" bestFit="1" customWidth="1"/>
    <col min="4" max="4" width="13.7109375" customWidth="1"/>
    <col min="5" max="5" width="17.85546875" customWidth="1"/>
    <col min="6" max="6" width="28.42578125" customWidth="1"/>
    <col min="7" max="7" width="26.85546875" customWidth="1"/>
    <col min="8" max="8" width="18.28515625" customWidth="1"/>
    <col min="9" max="9" width="22.5703125" customWidth="1"/>
    <col min="10" max="10" width="18.140625" customWidth="1"/>
    <col min="11" max="11" width="26.42578125" customWidth="1"/>
    <col min="12" max="12" width="22.140625" customWidth="1"/>
    <col min="13" max="13" width="28.42578125" customWidth="1"/>
    <col min="14" max="14" width="9.28515625" customWidth="1"/>
    <col min="18" max="18" width="15.7109375" bestFit="1" customWidth="1"/>
    <col min="19" max="19" width="16.140625" bestFit="1" customWidth="1"/>
    <col min="20" max="20" width="13.140625" bestFit="1" customWidth="1"/>
    <col min="21" max="21" width="17" bestFit="1" customWidth="1"/>
  </cols>
  <sheetData>
    <row r="1" spans="1:21" ht="21" x14ac:dyDescent="0.35">
      <c r="A1" s="75" t="s">
        <v>77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Q1" s="78" t="s">
        <v>97</v>
      </c>
      <c r="R1" s="78"/>
      <c r="S1" s="78"/>
      <c r="T1" s="78"/>
      <c r="U1" s="78"/>
    </row>
    <row r="2" spans="1:21" ht="15" customHeight="1" x14ac:dyDescent="0.25">
      <c r="A2" s="77" t="s">
        <v>78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Q2" s="50" t="s">
        <v>10</v>
      </c>
      <c r="R2" s="50" t="s">
        <v>7</v>
      </c>
      <c r="S2" s="50" t="s">
        <v>8</v>
      </c>
      <c r="T2" s="50" t="s">
        <v>41</v>
      </c>
      <c r="U2" s="50" t="s">
        <v>79</v>
      </c>
    </row>
    <row r="3" spans="1:21" x14ac:dyDescent="0.25">
      <c r="Q3" s="25">
        <v>2004</v>
      </c>
      <c r="R3" s="51">
        <f>I6</f>
        <v>123380.73866837636</v>
      </c>
      <c r="S3" s="51">
        <f>I30</f>
        <v>127523.68276833947</v>
      </c>
      <c r="T3" s="51">
        <f>I78</f>
        <v>125452.21071835791</v>
      </c>
      <c r="U3" s="51">
        <f>J6</f>
        <v>115000</v>
      </c>
    </row>
    <row r="4" spans="1:21" x14ac:dyDescent="0.25">
      <c r="Q4" s="25">
        <v>2005</v>
      </c>
      <c r="R4" s="51">
        <f t="shared" ref="R4:R23" si="0">I7</f>
        <v>465663.29691777204</v>
      </c>
      <c r="S4" s="51">
        <f t="shared" ref="S4:S23" si="1">I31</f>
        <v>285831.56655010959</v>
      </c>
      <c r="T4" s="51">
        <f t="shared" ref="T4:T23" si="2">I79</f>
        <v>376505.91770066979</v>
      </c>
      <c r="U4" s="51">
        <f t="shared" ref="U4:U23" si="3">J7</f>
        <v>243501</v>
      </c>
    </row>
    <row r="5" spans="1:21" ht="30" x14ac:dyDescent="0.25">
      <c r="A5" s="28" t="s">
        <v>50</v>
      </c>
      <c r="B5" s="29" t="s">
        <v>10</v>
      </c>
      <c r="C5" s="28" t="s">
        <v>37</v>
      </c>
      <c r="D5" s="30" t="s">
        <v>53</v>
      </c>
      <c r="E5" s="30" t="s">
        <v>54</v>
      </c>
      <c r="F5" s="30" t="s">
        <v>55</v>
      </c>
      <c r="G5" s="30" t="s">
        <v>56</v>
      </c>
      <c r="H5" s="30" t="s">
        <v>57</v>
      </c>
      <c r="I5" s="30" t="s">
        <v>80</v>
      </c>
      <c r="J5" s="30" t="s">
        <v>79</v>
      </c>
      <c r="K5" s="30" t="s">
        <v>38</v>
      </c>
      <c r="L5" s="30" t="s">
        <v>83</v>
      </c>
      <c r="M5" s="31" t="s">
        <v>59</v>
      </c>
      <c r="Q5" s="25">
        <v>2006</v>
      </c>
      <c r="R5" s="51">
        <f t="shared" si="0"/>
        <v>1032704.8463938332</v>
      </c>
      <c r="S5" s="51">
        <f t="shared" si="1"/>
        <v>457770.24482774956</v>
      </c>
      <c r="T5" s="51">
        <f t="shared" si="2"/>
        <v>717993.11070114223</v>
      </c>
      <c r="U5" s="51">
        <f t="shared" si="3"/>
        <v>386021.45909999998</v>
      </c>
    </row>
    <row r="6" spans="1:21" x14ac:dyDescent="0.25">
      <c r="A6" s="27" t="s">
        <v>7</v>
      </c>
      <c r="B6" s="25">
        <f>'Исходные данные'!A4</f>
        <v>2004</v>
      </c>
      <c r="C6" s="39">
        <f>IF(AND(Таблица16[[#This Row],[Год]]&gt;=Настройки!$B$4, Таблица16[[#This Row],[Год]]&lt;=Настройки!$B$5),IFERROR(VLOOKUP(Таблица16[[#This Row],[Год]],Данные[#All],9,FALSE),0),0)</f>
        <v>115000</v>
      </c>
      <c r="D6" s="19">
        <f>VLOOKUP($A$6,Настройки!$L$2:$N$13,2,FALSE)</f>
        <v>1</v>
      </c>
      <c r="E6" s="19">
        <f>VLOOKUP($A$6,Настройки!$L$2:$N$13,3,FALSE)</f>
        <v>0</v>
      </c>
      <c r="F6" s="20">
        <f>D6*VLOOKUP(B6,'Исходные данные'!$A$4:$G$24,2,FALSE)+E6*VLOOKUP(B6,'Исходные данные'!$A$4:$G$24,3,FALSE)+(1-D6-E6)*VLOOKUP(B6,'Исходные данные'!$A$4:$G$24,4,FALSE)</f>
        <v>7.2875988420664006E-2</v>
      </c>
      <c r="G6" s="39">
        <f>0</f>
        <v>0</v>
      </c>
      <c r="H6" s="21">
        <f>(G6+C6)*F6</f>
        <v>8380.7386683763616</v>
      </c>
      <c r="I6" s="21">
        <f>G6+C6+H6</f>
        <v>123380.73866837636</v>
      </c>
      <c r="J6" s="21">
        <f>C6</f>
        <v>115000</v>
      </c>
      <c r="K6" s="22">
        <f>IFERROR((I6-J6)/J6,"")</f>
        <v>7.287598842066402E-2</v>
      </c>
      <c r="L6" s="22">
        <f>IFERROR((1+K6)/VLOOKUP(B6,'Исходные данные'!$A$4:$G$24,6,FALSE)-1,"")</f>
        <v>-3.9846081599548944E-2</v>
      </c>
      <c r="M6" s="20">
        <f>IFERROR((I6/J6)^(1/(B6-$B$6+1))-1,"")</f>
        <v>7.2875988420664006E-2</v>
      </c>
      <c r="Q6" s="25">
        <v>2007</v>
      </c>
      <c r="R6" s="51">
        <f t="shared" si="0"/>
        <v>1338354.2583070889</v>
      </c>
      <c r="S6" s="51">
        <f t="shared" si="1"/>
        <v>658505.44092718523</v>
      </c>
      <c r="T6" s="51">
        <f t="shared" si="2"/>
        <v>960910.0029245991</v>
      </c>
      <c r="U6" s="51">
        <f t="shared" si="3"/>
        <v>541368.75951899996</v>
      </c>
    </row>
    <row r="7" spans="1:21" x14ac:dyDescent="0.25">
      <c r="A7" s="27" t="s">
        <v>7</v>
      </c>
      <c r="B7" s="25">
        <f>'Исходные данные'!A5</f>
        <v>2005</v>
      </c>
      <c r="C7" s="39">
        <f>IF(AND(Таблица16[[#This Row],[Год]]&gt;=Настройки!$B$4, Таблица16[[#This Row],[Год]]&lt;=Настройки!$B$5),IFERROR(VLOOKUP(Таблица16[[#This Row],[Год]],Данные[#All],9,FALSE),0),0)</f>
        <v>128501</v>
      </c>
      <c r="D7" s="19">
        <f>VLOOKUP($A$6,Настройки!$L$2:$N$13,2,FALSE)</f>
        <v>1</v>
      </c>
      <c r="E7" s="19">
        <f>VLOOKUP($A$6,Настройки!$L$2:$N$13,3,FALSE)</f>
        <v>0</v>
      </c>
      <c r="F7" s="20">
        <f>D7*VLOOKUP(B7,'Исходные данные'!$A$4:$G$24,2,FALSE)+E7*VLOOKUP(B7,'Исходные данные'!$A$4:$G$24,3,FALSE)+(1-D7-E7)*VLOOKUP(B7,'Исходные данные'!$A$4:$G$24,4,FALSE)</f>
        <v>0.84873782188258295</v>
      </c>
      <c r="G7" s="40">
        <f>I6</f>
        <v>123380.73866837636</v>
      </c>
      <c r="H7" s="21">
        <f t="shared" ref="H7:H26" si="4">(G7+C7)*F7</f>
        <v>213781.55824939572</v>
      </c>
      <c r="I7" s="21">
        <f t="shared" ref="I7:I26" si="5">G7+C7+H7</f>
        <v>465663.29691777204</v>
      </c>
      <c r="J7" s="23">
        <f>J6+C7</f>
        <v>243501</v>
      </c>
      <c r="K7" s="22">
        <f t="shared" ref="K7:K26" si="6">IFERROR((I7-J7)/J7,"")</f>
        <v>0.91236708234369479</v>
      </c>
      <c r="L7" s="22">
        <f>IFERROR((1+K7)/VLOOKUP(B7,'Исходные данные'!$A$4:$G$24,6,FALSE)-1,"")</f>
        <v>0.54309223993739497</v>
      </c>
      <c r="M7" s="20">
        <f t="shared" ref="M7:M26" si="7">IFERROR((I7/J7)^(1/(B7-$B$6+1))-1,"")</f>
        <v>0.38288361127887227</v>
      </c>
      <c r="Q7" s="25">
        <v>2008</v>
      </c>
      <c r="R7" s="51">
        <f t="shared" si="0"/>
        <v>504927.25327090442</v>
      </c>
      <c r="S7" s="51">
        <f t="shared" si="1"/>
        <v>786069.28102255042</v>
      </c>
      <c r="T7" s="51">
        <f t="shared" si="2"/>
        <v>725285.97459045448</v>
      </c>
      <c r="U7" s="51">
        <f t="shared" si="3"/>
        <v>715155.78449773532</v>
      </c>
    </row>
    <row r="8" spans="1:21" x14ac:dyDescent="0.25">
      <c r="A8" s="27" t="s">
        <v>7</v>
      </c>
      <c r="B8" s="25">
        <f>'Исходные данные'!A6</f>
        <v>2006</v>
      </c>
      <c r="C8" s="39">
        <f>IF(AND(Таблица16[[#This Row],[Год]]&gt;=Настройки!$B$4, Таблица16[[#This Row],[Год]]&lt;=Настройки!$B$5),IFERROR(VLOOKUP(Таблица16[[#This Row],[Год]],Данные[#All],9,FALSE),0),0)</f>
        <v>142520.45910000001</v>
      </c>
      <c r="D8" s="19">
        <f>VLOOKUP($A$6,Настройки!$L$2:$N$13,2,FALSE)</f>
        <v>1</v>
      </c>
      <c r="E8" s="19">
        <f>VLOOKUP($A$6,Настройки!$L$2:$N$13,3,FALSE)</f>
        <v>0</v>
      </c>
      <c r="F8" s="20">
        <f>D8*VLOOKUP(B8,'Исходные данные'!$A$4:$G$24,2,FALSE)+E8*VLOOKUP(B8,'Исходные данные'!$A$4:$G$24,3,FALSE)+(1-D8-E8)*VLOOKUP(B8,'Исходные данные'!$A$4:$G$24,4,FALSE)</f>
        <v>0.6980145164608047</v>
      </c>
      <c r="G8" s="40">
        <f t="shared" ref="G8:G26" si="8">I7</f>
        <v>465663.29691777204</v>
      </c>
      <c r="H8" s="21">
        <f t="shared" si="4"/>
        <v>424521.09037606115</v>
      </c>
      <c r="I8" s="21">
        <f t="shared" si="5"/>
        <v>1032704.8463938332</v>
      </c>
      <c r="J8" s="23">
        <f t="shared" ref="J8:J25" si="9">J7+C8</f>
        <v>386021.45909999998</v>
      </c>
      <c r="K8" s="22">
        <f t="shared" si="6"/>
        <v>1.6752524297523781</v>
      </c>
      <c r="L8" s="22">
        <f>IFERROR((1+K8)/VLOOKUP(B8,'Исходные данные'!$A$4:$G$24,6,FALSE)-1,"")</f>
        <v>0.98042726582132045</v>
      </c>
      <c r="M8" s="20">
        <f t="shared" si="7"/>
        <v>0.38820921323091295</v>
      </c>
      <c r="Q8" s="25">
        <v>2009</v>
      </c>
      <c r="R8" s="51">
        <f t="shared" si="0"/>
        <v>1586815.8889797339</v>
      </c>
      <c r="S8" s="51">
        <f t="shared" si="1"/>
        <v>1330190.8354487503</v>
      </c>
      <c r="T8" s="51">
        <f t="shared" si="2"/>
        <v>1666499.9999179961</v>
      </c>
      <c r="U8" s="51">
        <f t="shared" si="3"/>
        <v>912021.72639364668</v>
      </c>
    </row>
    <row r="9" spans="1:21" x14ac:dyDescent="0.25">
      <c r="A9" s="27" t="s">
        <v>7</v>
      </c>
      <c r="B9" s="25">
        <f>'Исходные данные'!A7</f>
        <v>2007</v>
      </c>
      <c r="C9" s="39">
        <f>IF(AND(Таблица16[[#This Row],[Год]]&gt;=Настройки!$B$4, Таблица16[[#This Row],[Год]]&lt;=Настройки!$B$5),IFERROR(VLOOKUP(Таблица16[[#This Row],[Год]],Данные[#All],9,FALSE),0),0)</f>
        <v>155347.30041900001</v>
      </c>
      <c r="D9" s="19">
        <f>VLOOKUP($A$6,Настройки!$L$2:$N$13,2,FALSE)</f>
        <v>1</v>
      </c>
      <c r="E9" s="19">
        <f>VLOOKUP($A$6,Настройки!$L$2:$N$13,3,FALSE)</f>
        <v>0</v>
      </c>
      <c r="F9" s="20">
        <f>D9*VLOOKUP(B9,'Исходные данные'!$A$4:$G$24,2,FALSE)+E9*VLOOKUP(B9,'Исходные данные'!$A$4:$G$24,3,FALSE)+(1-D9-E9)*VLOOKUP(B9,'Исходные данные'!$A$4:$G$24,4,FALSE)</f>
        <v>0.12651137569800164</v>
      </c>
      <c r="G9" s="40">
        <f t="shared" si="8"/>
        <v>1032704.8463938332</v>
      </c>
      <c r="H9" s="21">
        <f t="shared" si="4"/>
        <v>150302.11149425575</v>
      </c>
      <c r="I9" s="21">
        <f t="shared" si="5"/>
        <v>1338354.2583070889</v>
      </c>
      <c r="J9" s="23">
        <f t="shared" si="9"/>
        <v>541368.75951899996</v>
      </c>
      <c r="K9" s="22">
        <f t="shared" si="6"/>
        <v>1.4721675101758762</v>
      </c>
      <c r="L9" s="22">
        <f>IFERROR((1+K9)/VLOOKUP(B9,'Исходные данные'!$A$4:$G$24,6,FALSE)-1,"")</f>
        <v>0.63590615412751794</v>
      </c>
      <c r="M9" s="20">
        <f t="shared" si="7"/>
        <v>0.25391897273464159</v>
      </c>
      <c r="Q9" s="25">
        <v>2010</v>
      </c>
      <c r="R9" s="51">
        <f t="shared" si="0"/>
        <v>2256384.8289325223</v>
      </c>
      <c r="S9" s="51">
        <f t="shared" si="1"/>
        <v>1716541.0463957686</v>
      </c>
      <c r="T9" s="51">
        <f t="shared" si="2"/>
        <v>2223278.5690797358</v>
      </c>
      <c r="U9" s="51">
        <f t="shared" si="3"/>
        <v>1126211.8711763984</v>
      </c>
    </row>
    <row r="10" spans="1:21" x14ac:dyDescent="0.25">
      <c r="A10" s="27" t="s">
        <v>7</v>
      </c>
      <c r="B10" s="25">
        <f>'Исходные данные'!A8</f>
        <v>2008</v>
      </c>
      <c r="C10" s="39">
        <f>IF(AND(Таблица16[[#This Row],[Год]]&gt;=Настройки!$B$4, Таблица16[[#This Row],[Год]]&lt;=Настройки!$B$5),IFERROR(VLOOKUP(Таблица16[[#This Row],[Год]],Данные[#All],9,FALSE),0),0)</f>
        <v>173787.02497873531</v>
      </c>
      <c r="D10" s="19">
        <f>VLOOKUP($A$6,Настройки!$L$2:$N$13,2,FALSE)</f>
        <v>1</v>
      </c>
      <c r="E10" s="19">
        <f>VLOOKUP($A$6,Настройки!$L$2:$N$13,3,FALSE)</f>
        <v>0</v>
      </c>
      <c r="F10" s="20">
        <f>D10*VLOOKUP(B10,'Исходные данные'!$A$4:$G$24,2,FALSE)+E10*VLOOKUP(B10,'Исходные данные'!$A$4:$G$24,3,FALSE)+(1-D10-E10)*VLOOKUP(B10,'Исходные данные'!$A$4:$G$24,4,FALSE)</f>
        <v>-0.66608460541880243</v>
      </c>
      <c r="G10" s="40">
        <f t="shared" si="8"/>
        <v>1338354.2583070889</v>
      </c>
      <c r="H10" s="21">
        <f t="shared" si="4"/>
        <v>-1007214.0300149197</v>
      </c>
      <c r="I10" s="21">
        <f t="shared" si="5"/>
        <v>504927.25327090442</v>
      </c>
      <c r="J10" s="23">
        <f t="shared" si="9"/>
        <v>715155.78449773532</v>
      </c>
      <c r="K10" s="22">
        <f t="shared" si="6"/>
        <v>-0.29396186926527845</v>
      </c>
      <c r="L10" s="22">
        <f>IFERROR((1+K10)/VLOOKUP(B10,'Исходные данные'!$A$4:$G$24,6,FALSE)-1,"")</f>
        <v>-0.5875651001257356</v>
      </c>
      <c r="M10" s="20">
        <f t="shared" si="7"/>
        <v>-6.7249197648803105E-2</v>
      </c>
      <c r="Q10" s="25">
        <v>2011</v>
      </c>
      <c r="R10" s="51">
        <f t="shared" si="0"/>
        <v>2129533.0549747869</v>
      </c>
      <c r="S10" s="51">
        <f t="shared" si="1"/>
        <v>2062498.9384470829</v>
      </c>
      <c r="T10" s="51">
        <f t="shared" si="2"/>
        <v>2349905.358402147</v>
      </c>
      <c r="U10" s="51">
        <f t="shared" si="3"/>
        <v>1359207.9106710756</v>
      </c>
    </row>
    <row r="11" spans="1:21" x14ac:dyDescent="0.25">
      <c r="A11" s="27" t="s">
        <v>7</v>
      </c>
      <c r="B11" s="25">
        <f>'Исходные данные'!A9</f>
        <v>2009</v>
      </c>
      <c r="C11" s="39">
        <f>IF(AND(Таблица16[[#This Row],[Год]]&gt;=Настройки!$B$4, Таблица16[[#This Row],[Год]]&lt;=Настройки!$B$5),IFERROR(VLOOKUP(Таблица16[[#This Row],[Год]],Данные[#All],9,FALSE),0),0)</f>
        <v>196865.94189591135</v>
      </c>
      <c r="D11" s="19">
        <f>VLOOKUP($A$6,Настройки!$L$2:$N$13,2,FALSE)</f>
        <v>1</v>
      </c>
      <c r="E11" s="19">
        <f>VLOOKUP($A$6,Настройки!$L$2:$N$13,3,FALSE)</f>
        <v>0</v>
      </c>
      <c r="F11" s="20">
        <f>D11*VLOOKUP(B11,'Исходные данные'!$A$4:$G$24,2,FALSE)+E11*VLOOKUP(B11,'Исходные данные'!$A$4:$G$24,3,FALSE)+(1-D11-E11)*VLOOKUP(B11,'Исходные данные'!$A$4:$G$24,4,FALSE)</f>
        <v>1.2610875966139123</v>
      </c>
      <c r="G11" s="40">
        <f t="shared" si="8"/>
        <v>504927.25327090442</v>
      </c>
      <c r="H11" s="21">
        <f t="shared" si="4"/>
        <v>885022.69381291803</v>
      </c>
      <c r="I11" s="21">
        <f t="shared" si="5"/>
        <v>1586815.8889797339</v>
      </c>
      <c r="J11" s="23">
        <f t="shared" si="9"/>
        <v>912021.72639364668</v>
      </c>
      <c r="K11" s="22">
        <f t="shared" si="6"/>
        <v>0.73988825381867351</v>
      </c>
      <c r="L11" s="22">
        <f>IFERROR((1+K11)/VLOOKUP(B11,'Исходные данные'!$A$4:$G$24,6,FALSE)-1,"")</f>
        <v>-6.5843344976999396E-2</v>
      </c>
      <c r="M11" s="20">
        <f t="shared" si="7"/>
        <v>9.6697599055200589E-2</v>
      </c>
      <c r="Q11" s="25">
        <v>2012</v>
      </c>
      <c r="R11" s="51">
        <f t="shared" si="0"/>
        <v>2585163.067133503</v>
      </c>
      <c r="S11" s="51">
        <f t="shared" si="1"/>
        <v>2647976.026061398</v>
      </c>
      <c r="T11" s="51">
        <f t="shared" si="2"/>
        <v>2901167.4071109351</v>
      </c>
      <c r="U11" s="51">
        <f t="shared" si="3"/>
        <v>1606416.7085749281</v>
      </c>
    </row>
    <row r="12" spans="1:21" x14ac:dyDescent="0.25">
      <c r="A12" s="27" t="s">
        <v>7</v>
      </c>
      <c r="B12" s="25">
        <f>'Исходные данные'!A10</f>
        <v>2010</v>
      </c>
      <c r="C12" s="39">
        <f>IF(AND(Таблица16[[#This Row],[Год]]&gt;=Настройки!$B$4, Таблица16[[#This Row],[Год]]&lt;=Настройки!$B$5),IFERROR(VLOOKUP(Таблица16[[#This Row],[Год]],Данные[#All],9,FALSE),0),0)</f>
        <v>214190.14478275157</v>
      </c>
      <c r="D12" s="19">
        <f>VLOOKUP($A$6,Настройки!$L$2:$N$13,2,FALSE)</f>
        <v>1</v>
      </c>
      <c r="E12" s="19">
        <f>VLOOKUP($A$6,Настройки!$L$2:$N$13,3,FALSE)</f>
        <v>0</v>
      </c>
      <c r="F12" s="20">
        <f>D12*VLOOKUP(B12,'Исходные данные'!$A$4:$G$24,2,FALSE)+E12*VLOOKUP(B12,'Исходные данные'!$A$4:$G$24,3,FALSE)+(1-D12-E12)*VLOOKUP(B12,'Исходные данные'!$A$4:$G$24,4,FALSE)</f>
        <v>0.25284690147245326</v>
      </c>
      <c r="G12" s="40">
        <f t="shared" si="8"/>
        <v>1586815.8889797339</v>
      </c>
      <c r="H12" s="21">
        <f t="shared" si="4"/>
        <v>455378.79517003702</v>
      </c>
      <c r="I12" s="21">
        <f t="shared" si="5"/>
        <v>2256384.8289325223</v>
      </c>
      <c r="J12" s="23">
        <f t="shared" si="9"/>
        <v>1126211.8711763984</v>
      </c>
      <c r="K12" s="22">
        <f t="shared" si="6"/>
        <v>1.0035171770792897</v>
      </c>
      <c r="L12" s="22">
        <f>IFERROR((1+K12)/VLOOKUP(B12,'Исходные данные'!$A$4:$G$24,6,FALSE)-1,"")</f>
        <v>-1.1122781898694645E-2</v>
      </c>
      <c r="M12" s="20">
        <f t="shared" si="7"/>
        <v>0.10436668187101672</v>
      </c>
      <c r="N12" s="24"/>
      <c r="Q12" s="25">
        <v>2013</v>
      </c>
      <c r="R12" s="51">
        <f t="shared" si="0"/>
        <v>3028530.2136764405</v>
      </c>
      <c r="S12" s="51">
        <f t="shared" si="1"/>
        <v>3022144.5863524149</v>
      </c>
      <c r="T12" s="51">
        <f t="shared" si="2"/>
        <v>3324726.296032384</v>
      </c>
      <c r="U12" s="51">
        <f t="shared" si="3"/>
        <v>1869891.8453808541</v>
      </c>
    </row>
    <row r="13" spans="1:21" x14ac:dyDescent="0.25">
      <c r="A13" s="27" t="s">
        <v>7</v>
      </c>
      <c r="B13" s="25">
        <f>'Исходные данные'!A11</f>
        <v>2011</v>
      </c>
      <c r="C13" s="39">
        <f>IF(AND(Таблица16[[#This Row],[Год]]&gt;=Настройки!$B$4, Таблица16[[#This Row],[Год]]&lt;=Настройки!$B$5),IFERROR(VLOOKUP(Таблица16[[#This Row],[Год]],Данные[#All],9,FALSE),0),0)</f>
        <v>232996.03949467718</v>
      </c>
      <c r="D13" s="19">
        <f>VLOOKUP($A$6,Настройки!$L$2:$N$13,2,FALSE)</f>
        <v>1</v>
      </c>
      <c r="E13" s="19">
        <f>VLOOKUP($A$6,Настройки!$L$2:$N$13,3,FALSE)</f>
        <v>0</v>
      </c>
      <c r="F13" s="20">
        <f>D13*VLOOKUP(B13,'Исходные данные'!$A$4:$G$24,2,FALSE)+E13*VLOOKUP(B13,'Исходные данные'!$A$4:$G$24,3,FALSE)+(1-D13-E13)*VLOOKUP(B13,'Исходные данные'!$A$4:$G$24,4,FALSE)</f>
        <v>-0.14455313689293581</v>
      </c>
      <c r="G13" s="40">
        <f t="shared" si="8"/>
        <v>2256384.8289325223</v>
      </c>
      <c r="H13" s="21">
        <f t="shared" si="4"/>
        <v>-359847.81345241237</v>
      </c>
      <c r="I13" s="21">
        <f t="shared" si="5"/>
        <v>2129533.0549747869</v>
      </c>
      <c r="J13" s="23">
        <f t="shared" si="9"/>
        <v>1359207.9106710756</v>
      </c>
      <c r="K13" s="22">
        <f t="shared" si="6"/>
        <v>0.56674563049252868</v>
      </c>
      <c r="L13" s="22">
        <f>IFERROR((1+K13)/VLOOKUP(B13,'Исходные данные'!$A$4:$G$24,6,FALSE)-1,"")</f>
        <v>-0.27115964709024243</v>
      </c>
      <c r="M13" s="20">
        <f t="shared" si="7"/>
        <v>5.7729973845249249E-2</v>
      </c>
      <c r="Q13" s="25">
        <v>2014</v>
      </c>
      <c r="R13" s="51">
        <f t="shared" si="0"/>
        <v>3247973.2378218505</v>
      </c>
      <c r="S13" s="51">
        <f t="shared" si="1"/>
        <v>2828515.5196644547</v>
      </c>
      <c r="T13" s="51">
        <f t="shared" si="2"/>
        <v>3313183.8004455729</v>
      </c>
      <c r="U13" s="51">
        <f t="shared" si="3"/>
        <v>2150361.1285107625</v>
      </c>
    </row>
    <row r="14" spans="1:21" x14ac:dyDescent="0.25">
      <c r="A14" s="27" t="s">
        <v>7</v>
      </c>
      <c r="B14" s="25">
        <f>'Исходные данные'!A12</f>
        <v>2012</v>
      </c>
      <c r="C14" s="39">
        <f>IF(AND(Таблица16[[#This Row],[Год]]&gt;=Настройки!$B$4, Таблица16[[#This Row],[Год]]&lt;=Настройки!$B$5),IFERROR(VLOOKUP(Таблица16[[#This Row],[Год]],Данные[#All],9,FALSE),0),0)</f>
        <v>247208.79790385248</v>
      </c>
      <c r="D14" s="19">
        <f>VLOOKUP($A$6,Настройки!$L$2:$N$13,2,FALSE)</f>
        <v>1</v>
      </c>
      <c r="E14" s="19">
        <f>VLOOKUP($A$6,Настройки!$L$2:$N$13,3,FALSE)</f>
        <v>0</v>
      </c>
      <c r="F14" s="20">
        <f>D14*VLOOKUP(B14,'Исходные данные'!$A$4:$G$24,2,FALSE)+E14*VLOOKUP(B14,'Исходные данные'!$A$4:$G$24,3,FALSE)+(1-D14-E14)*VLOOKUP(B14,'Исходные данные'!$A$4:$G$24,4,FALSE)</f>
        <v>8.7691986406697842E-2</v>
      </c>
      <c r="G14" s="40">
        <f t="shared" si="8"/>
        <v>2129533.0549747869</v>
      </c>
      <c r="H14" s="21">
        <f t="shared" si="4"/>
        <v>208421.2142548635</v>
      </c>
      <c r="I14" s="21">
        <f t="shared" si="5"/>
        <v>2585163.067133503</v>
      </c>
      <c r="J14" s="23">
        <f t="shared" si="9"/>
        <v>1606416.7085749281</v>
      </c>
      <c r="K14" s="22">
        <f t="shared" si="6"/>
        <v>0.60927301946879819</v>
      </c>
      <c r="L14" s="22">
        <f>IFERROR((1+K14)/VLOOKUP(B14,'Исходные данные'!$A$4:$G$24,6,FALSE)-1,"")</f>
        <v>-0.29759445432898501</v>
      </c>
      <c r="M14" s="20">
        <f t="shared" si="7"/>
        <v>5.4287018122243236E-2</v>
      </c>
      <c r="Q14" s="25">
        <v>2015</v>
      </c>
      <c r="R14" s="51">
        <f t="shared" si="0"/>
        <v>4709403.0091613363</v>
      </c>
      <c r="S14" s="51">
        <f t="shared" si="1"/>
        <v>4069136.6145255361</v>
      </c>
      <c r="T14" s="51">
        <f t="shared" si="2"/>
        <v>4746355.581465628</v>
      </c>
      <c r="U14" s="51">
        <f t="shared" si="3"/>
        <v>2462691.7222042284</v>
      </c>
    </row>
    <row r="15" spans="1:21" x14ac:dyDescent="0.25">
      <c r="A15" s="27" t="s">
        <v>7</v>
      </c>
      <c r="B15" s="25">
        <f>'Исходные данные'!A13</f>
        <v>2013</v>
      </c>
      <c r="C15" s="39">
        <f>IF(AND(Таблица16[[#This Row],[Год]]&gt;=Настройки!$B$4, Таблица16[[#This Row],[Год]]&lt;=Настройки!$B$5),IFERROR(VLOOKUP(Таблица16[[#This Row],[Год]],Данные[#All],9,FALSE),0),0)</f>
        <v>263475.13680592598</v>
      </c>
      <c r="D15" s="19">
        <f>VLOOKUP($A$6,Настройки!$L$2:$N$13,2,FALSE)</f>
        <v>1</v>
      </c>
      <c r="E15" s="19">
        <f>VLOOKUP($A$6,Настройки!$L$2:$N$13,3,FALSE)</f>
        <v>0</v>
      </c>
      <c r="F15" s="20">
        <f>D15*VLOOKUP(B15,'Исходные данные'!$A$4:$G$24,2,FALSE)+E15*VLOOKUP(B15,'Исходные данные'!$A$4:$G$24,3,FALSE)+(1-D15-E15)*VLOOKUP(B15,'Исходные данные'!$A$4:$G$24,4,FALSE)</f>
        <v>6.3150178035327853E-2</v>
      </c>
      <c r="G15" s="40">
        <f t="shared" si="8"/>
        <v>2585163.067133503</v>
      </c>
      <c r="H15" s="21">
        <f t="shared" si="4"/>
        <v>179892.00973701151</v>
      </c>
      <c r="I15" s="21">
        <f t="shared" si="5"/>
        <v>3028530.2136764405</v>
      </c>
      <c r="J15" s="23">
        <f t="shared" si="9"/>
        <v>1869891.8453808541</v>
      </c>
      <c r="K15" s="22">
        <f t="shared" si="6"/>
        <v>0.61962854758564834</v>
      </c>
      <c r="L15" s="22">
        <f>IFERROR((1+K15)/VLOOKUP(B15,'Исходные данные'!$A$4:$G$24,6,FALSE)-1,"")</f>
        <v>-0.33590844282909016</v>
      </c>
      <c r="M15" s="20">
        <f t="shared" si="7"/>
        <v>4.9401165740742492E-2</v>
      </c>
      <c r="Q15" s="25">
        <v>2016</v>
      </c>
      <c r="R15" s="51">
        <f t="shared" si="0"/>
        <v>6721413.8651684439</v>
      </c>
      <c r="S15" s="51">
        <f t="shared" si="1"/>
        <v>5079674.3073841818</v>
      </c>
      <c r="T15" s="51">
        <f t="shared" si="2"/>
        <v>6314065.6379946265</v>
      </c>
      <c r="U15" s="51">
        <f t="shared" si="3"/>
        <v>2815344.1955435206</v>
      </c>
    </row>
    <row r="16" spans="1:21" x14ac:dyDescent="0.25">
      <c r="A16" s="27" t="s">
        <v>7</v>
      </c>
      <c r="B16" s="25">
        <f>'Исходные данные'!A14</f>
        <v>2014</v>
      </c>
      <c r="C16" s="39">
        <f>IF(AND(Таблица16[[#This Row],[Год]]&gt;=Настройки!$B$4, Таблица16[[#This Row],[Год]]&lt;=Настройки!$B$5),IFERROR(VLOOKUP(Таблица16[[#This Row],[Год]],Данные[#All],9,FALSE),0),0)</f>
        <v>280469.2831299082</v>
      </c>
      <c r="D16" s="19">
        <f>VLOOKUP($A$6,Настройки!$L$2:$N$13,2,FALSE)</f>
        <v>1</v>
      </c>
      <c r="E16" s="19">
        <f>VLOOKUP($A$6,Настройки!$L$2:$N$13,3,FALSE)</f>
        <v>0</v>
      </c>
      <c r="F16" s="20">
        <f>D16*VLOOKUP(B16,'Исходные данные'!$A$4:$G$24,2,FALSE)+E16*VLOOKUP(B16,'Исходные данные'!$A$4:$G$24,3,FALSE)+(1-D16-E16)*VLOOKUP(B16,'Исходные данные'!$A$4:$G$24,4,FALSE)</f>
        <v>-1.8442510808296397E-2</v>
      </c>
      <c r="G16" s="40">
        <f t="shared" si="8"/>
        <v>3028530.2136764405</v>
      </c>
      <c r="H16" s="21">
        <f t="shared" si="4"/>
        <v>-61026.258984498425</v>
      </c>
      <c r="I16" s="21">
        <f t="shared" si="5"/>
        <v>3247973.2378218505</v>
      </c>
      <c r="J16" s="23">
        <f t="shared" si="9"/>
        <v>2150361.1285107625</v>
      </c>
      <c r="K16" s="22">
        <f t="shared" si="6"/>
        <v>0.51043152462081653</v>
      </c>
      <c r="L16" s="22">
        <f>IFERROR((1+K16)/VLOOKUP(B16,'Исходные данные'!$A$4:$G$24,6,FALSE)-1,"")</f>
        <v>-0.44385971519053324</v>
      </c>
      <c r="M16" s="20">
        <f t="shared" si="7"/>
        <v>3.8202123533977117E-2</v>
      </c>
      <c r="Q16" s="25">
        <v>2017</v>
      </c>
      <c r="R16" s="51">
        <f t="shared" si="0"/>
        <v>7079844.5749415513</v>
      </c>
      <c r="S16" s="51">
        <f t="shared" si="1"/>
        <v>6145721.6303175371</v>
      </c>
      <c r="T16" s="51">
        <f t="shared" si="2"/>
        <v>7105305.9453476574</v>
      </c>
      <c r="U16" s="51">
        <f t="shared" si="3"/>
        <v>3186969.3719484666</v>
      </c>
    </row>
    <row r="17" spans="1:21" x14ac:dyDescent="0.25">
      <c r="A17" s="27" t="s">
        <v>7</v>
      </c>
      <c r="B17" s="25">
        <f>'Исходные данные'!A15</f>
        <v>2015</v>
      </c>
      <c r="C17" s="39">
        <f>IF(AND(Таблица16[[#This Row],[Год]]&gt;=Настройки!$B$4, Таблица16[[#This Row],[Год]]&lt;=Настройки!$B$5),IFERROR(VLOOKUP(Таблица16[[#This Row],[Год]],Данные[#All],9,FALSE),0),0)</f>
        <v>312330.59369346575</v>
      </c>
      <c r="D17" s="19">
        <f>VLOOKUP($A$6,Настройки!$L$2:$N$13,2,FALSE)</f>
        <v>1</v>
      </c>
      <c r="E17" s="19">
        <f>VLOOKUP($A$6,Настройки!$L$2:$N$13,3,FALSE)</f>
        <v>0</v>
      </c>
      <c r="F17" s="20">
        <f>D17*VLOOKUP(B17,'Исходные данные'!$A$4:$G$24,2,FALSE)+E17*VLOOKUP(B17,'Исходные данные'!$A$4:$G$24,3,FALSE)+(1-D17-E17)*VLOOKUP(B17,'Исходные данные'!$A$4:$G$24,4,FALSE)</f>
        <v>0.32275312221231034</v>
      </c>
      <c r="G17" s="40">
        <f t="shared" si="8"/>
        <v>3247973.2378218505</v>
      </c>
      <c r="H17" s="21">
        <f t="shared" si="4"/>
        <v>1149099.1776460197</v>
      </c>
      <c r="I17" s="21">
        <f t="shared" si="5"/>
        <v>4709403.0091613363</v>
      </c>
      <c r="J17" s="23">
        <f t="shared" si="9"/>
        <v>2462691.7222042284</v>
      </c>
      <c r="K17" s="22">
        <f t="shared" si="6"/>
        <v>0.91229903714712313</v>
      </c>
      <c r="L17" s="22">
        <f>IFERROR((1+K17)/VLOOKUP(B17,'Исходные данные'!$A$4:$G$24,6,FALSE)-1,"")</f>
        <v>-0.37639912974511813</v>
      </c>
      <c r="M17" s="20">
        <f t="shared" si="7"/>
        <v>5.5511535174530335E-2</v>
      </c>
      <c r="Q17" s="25">
        <v>2018</v>
      </c>
      <c r="R17" s="51">
        <f t="shared" si="0"/>
        <v>8884765.1698297523</v>
      </c>
      <c r="S17" s="51">
        <f t="shared" si="1"/>
        <v>6665223.7259164602</v>
      </c>
      <c r="T17" s="51">
        <f t="shared" si="2"/>
        <v>8280129.2959678946</v>
      </c>
      <c r="U17" s="51">
        <f t="shared" si="3"/>
        <v>3567959.5027988171</v>
      </c>
    </row>
    <row r="18" spans="1:21" x14ac:dyDescent="0.25">
      <c r="A18" s="27" t="s">
        <v>7</v>
      </c>
      <c r="B18" s="25">
        <f>'Исходные данные'!A16</f>
        <v>2016</v>
      </c>
      <c r="C18" s="39">
        <f>IF(AND(Таблица16[[#This Row],[Год]]&gt;=Настройки!$B$4, Таблица16[[#This Row],[Год]]&lt;=Настройки!$B$5),IFERROR(VLOOKUP(Таблица16[[#This Row],[Год]],Данные[#All],9,FALSE),0),0)</f>
        <v>352652.47333929216</v>
      </c>
      <c r="D18" s="19">
        <f>VLOOKUP($A$6,Настройки!$L$2:$N$13,2,FALSE)</f>
        <v>1</v>
      </c>
      <c r="E18" s="19">
        <f>VLOOKUP($A$6,Настройки!$L$2:$N$13,3,FALSE)</f>
        <v>0</v>
      </c>
      <c r="F18" s="20">
        <f>D18*VLOOKUP(B18,'Исходные данные'!$A$4:$G$24,2,FALSE)+E18*VLOOKUP(B18,'Исходные данные'!$A$4:$G$24,3,FALSE)+(1-D18-E18)*VLOOKUP(B18,'Исходные данные'!$A$4:$G$24,4,FALSE)</f>
        <v>0.32780327841213253</v>
      </c>
      <c r="G18" s="40">
        <f t="shared" si="8"/>
        <v>4709403.0091613363</v>
      </c>
      <c r="H18" s="21">
        <f t="shared" si="4"/>
        <v>1659358.3826678153</v>
      </c>
      <c r="I18" s="21">
        <f t="shared" si="5"/>
        <v>6721413.8651684439</v>
      </c>
      <c r="J18" s="23">
        <f t="shared" si="9"/>
        <v>2815344.1955435206</v>
      </c>
      <c r="K18" s="22">
        <f t="shared" si="6"/>
        <v>1.3874217141221807</v>
      </c>
      <c r="L18" s="22">
        <f>IFERROR((1+K18)/VLOOKUP(B18,'Исходные данные'!$A$4:$G$24,6,FALSE)-1,"")</f>
        <v>-0.26120856563044037</v>
      </c>
      <c r="M18" s="20">
        <f t="shared" si="7"/>
        <v>6.9230829121039505E-2</v>
      </c>
      <c r="Q18" s="25">
        <v>2019</v>
      </c>
      <c r="R18" s="51">
        <f t="shared" si="0"/>
        <v>12851033.470899522</v>
      </c>
      <c r="S18" s="51">
        <f t="shared" si="1"/>
        <v>8474415.2123942077</v>
      </c>
      <c r="T18" s="51">
        <f t="shared" si="2"/>
        <v>11213041.752879258</v>
      </c>
      <c r="U18" s="51">
        <f t="shared" si="3"/>
        <v>3965217.9122364777</v>
      </c>
    </row>
    <row r="19" spans="1:21" x14ac:dyDescent="0.25">
      <c r="A19" s="27" t="s">
        <v>7</v>
      </c>
      <c r="B19" s="25">
        <f>'Исходные данные'!A17</f>
        <v>2017</v>
      </c>
      <c r="C19" s="39">
        <f>IF(AND(Таблица16[[#This Row],[Год]]&gt;=Настройки!$B$4, Таблица16[[#This Row],[Год]]&lt;=Настройки!$B$5),IFERROR(VLOOKUP(Таблица16[[#This Row],[Год]],Данные[#All],9,FALSE),0),0)</f>
        <v>371625.17640494613</v>
      </c>
      <c r="D19" s="19">
        <f>VLOOKUP($A$6,Настройки!$L$2:$N$13,2,FALSE)</f>
        <v>1</v>
      </c>
      <c r="E19" s="19">
        <f>VLOOKUP($A$6,Настройки!$L$2:$N$13,3,FALSE)</f>
        <v>0</v>
      </c>
      <c r="F19" s="20">
        <f>D19*VLOOKUP(B19,'Исходные данные'!$A$4:$G$24,2,FALSE)+E19*VLOOKUP(B19,'Исходные данные'!$A$4:$G$24,3,FALSE)+(1-D19-E19)*VLOOKUP(B19,'Исходные данные'!$A$4:$G$24,4,FALSE)</f>
        <v>-1.8601993524219873E-3</v>
      </c>
      <c r="G19" s="40">
        <f t="shared" si="8"/>
        <v>6721413.8651684439</v>
      </c>
      <c r="H19" s="21">
        <f t="shared" si="4"/>
        <v>-13194.466631838694</v>
      </c>
      <c r="I19" s="21">
        <f t="shared" si="5"/>
        <v>7079844.5749415513</v>
      </c>
      <c r="J19" s="23">
        <f t="shared" si="9"/>
        <v>3186969.3719484666</v>
      </c>
      <c r="K19" s="22">
        <f t="shared" si="6"/>
        <v>1.2214975259122234</v>
      </c>
      <c r="L19" s="22">
        <f>IFERROR((1+K19)/VLOOKUP(B19,'Исходные данные'!$A$4:$G$24,6,FALSE)-1,"")</f>
        <v>-0.32945188131329128</v>
      </c>
      <c r="M19" s="20">
        <f t="shared" si="7"/>
        <v>5.8669537446133235E-2</v>
      </c>
      <c r="Q19" s="25">
        <v>2020</v>
      </c>
      <c r="R19" s="51">
        <f t="shared" si="0"/>
        <v>15226236.635162897</v>
      </c>
      <c r="S19" s="51">
        <f t="shared" si="1"/>
        <v>9642509.1537528113</v>
      </c>
      <c r="T19" s="51">
        <f t="shared" si="2"/>
        <v>12980221.902293434</v>
      </c>
      <c r="U19" s="51">
        <f t="shared" si="3"/>
        <v>4374592.7031619865</v>
      </c>
    </row>
    <row r="20" spans="1:21" x14ac:dyDescent="0.25">
      <c r="A20" s="27" t="s">
        <v>7</v>
      </c>
      <c r="B20" s="25">
        <f>'Исходные данные'!A18</f>
        <v>2018</v>
      </c>
      <c r="C20" s="39">
        <f>IF(AND(Таблица16[[#This Row],[Год]]&gt;=Настройки!$B$4, Таблица16[[#This Row],[Год]]&lt;=Настройки!$B$5),IFERROR(VLOOKUP(Таблица16[[#This Row],[Год]],Данные[#All],9,FALSE),0),0)</f>
        <v>380990.13085035072</v>
      </c>
      <c r="D20" s="19">
        <f>VLOOKUP($A$6,Настройки!$L$2:$N$13,2,FALSE)</f>
        <v>1</v>
      </c>
      <c r="E20" s="19">
        <f>VLOOKUP($A$6,Настройки!$L$2:$N$13,3,FALSE)</f>
        <v>0</v>
      </c>
      <c r="F20" s="20">
        <f>D20*VLOOKUP(B20,'Исходные данные'!$A$4:$G$24,2,FALSE)+E20*VLOOKUP(B20,'Исходные данные'!$A$4:$G$24,3,FALSE)+(1-D20-E20)*VLOOKUP(B20,'Исходные данные'!$A$4:$G$24,4,FALSE)</f>
        <v>0.19085404250176485</v>
      </c>
      <c r="G20" s="40">
        <f t="shared" si="8"/>
        <v>7079844.5749415513</v>
      </c>
      <c r="H20" s="21">
        <f t="shared" si="4"/>
        <v>1423930.4640378498</v>
      </c>
      <c r="I20" s="21">
        <f t="shared" si="5"/>
        <v>8884765.1698297523</v>
      </c>
      <c r="J20" s="23">
        <f t="shared" si="9"/>
        <v>3567959.5027988171</v>
      </c>
      <c r="K20" s="22">
        <f t="shared" si="6"/>
        <v>1.4901530308458573</v>
      </c>
      <c r="L20" s="22">
        <f>IFERROR((1+K20)/VLOOKUP(B20,'Исходные данные'!$A$4:$G$24,6,FALSE)-1,"")</f>
        <v>-0.27914024789899017</v>
      </c>
      <c r="M20" s="20">
        <f t="shared" si="7"/>
        <v>6.2710738695248125E-2</v>
      </c>
      <c r="Q20" s="25">
        <v>2021</v>
      </c>
      <c r="R20" s="51">
        <f t="shared" si="0"/>
        <v>19067515.838644829</v>
      </c>
      <c r="S20" s="51">
        <f t="shared" si="1"/>
        <v>9564204.9460127186</v>
      </c>
      <c r="T20" s="51">
        <f t="shared" si="2"/>
        <v>14532840.213483857</v>
      </c>
      <c r="U20" s="51">
        <f t="shared" si="3"/>
        <v>4804067.7963219387</v>
      </c>
    </row>
    <row r="21" spans="1:21" x14ac:dyDescent="0.25">
      <c r="A21" s="27" t="s">
        <v>7</v>
      </c>
      <c r="B21" s="25">
        <f>'Исходные данные'!A19</f>
        <v>2019</v>
      </c>
      <c r="C21" s="39">
        <f>IF(AND(Таблица16[[#This Row],[Год]]&gt;=Настройки!$B$4, Таблица16[[#This Row],[Год]]&lt;=Настройки!$B$5),IFERROR(VLOOKUP(Таблица16[[#This Row],[Год]],Данные[#All],9,FALSE),0),0)</f>
        <v>397258.40943766065</v>
      </c>
      <c r="D21" s="19">
        <f>VLOOKUP($A$6,Настройки!$L$2:$N$13,2,FALSE)</f>
        <v>1</v>
      </c>
      <c r="E21" s="19">
        <f>VLOOKUP($A$6,Настройки!$L$2:$N$13,3,FALSE)</f>
        <v>0</v>
      </c>
      <c r="F21" s="20">
        <f>D21*VLOOKUP(B21,'Исходные данные'!$A$4:$G$24,2,FALSE)+E21*VLOOKUP(B21,'Исходные данные'!$A$4:$G$24,3,FALSE)+(1-D21-E21)*VLOOKUP(B21,'Исходные данные'!$A$4:$G$24,4,FALSE)</f>
        <v>0.38450773811908312</v>
      </c>
      <c r="G21" s="40">
        <f t="shared" si="8"/>
        <v>8884765.1698297523</v>
      </c>
      <c r="H21" s="21">
        <f t="shared" si="4"/>
        <v>3569009.8916321089</v>
      </c>
      <c r="I21" s="21">
        <f t="shared" si="5"/>
        <v>12851033.470899522</v>
      </c>
      <c r="J21" s="23">
        <f t="shared" si="9"/>
        <v>3965217.9122364777</v>
      </c>
      <c r="K21" s="22">
        <f t="shared" si="6"/>
        <v>2.2409400328899531</v>
      </c>
      <c r="L21" s="22">
        <f>IFERROR((1+K21)/VLOOKUP(B21,'Исходные данные'!$A$4:$G$24,6,FALSE)-1,"")</f>
        <v>-8.9567525787968449E-2</v>
      </c>
      <c r="M21" s="20">
        <f t="shared" si="7"/>
        <v>7.6259349503381868E-2</v>
      </c>
      <c r="Q21" s="25">
        <v>2022</v>
      </c>
      <c r="R21" s="51">
        <f t="shared" si="0"/>
        <v>12255409.589596387</v>
      </c>
      <c r="S21" s="51">
        <f t="shared" si="1"/>
        <v>10413592.063491493</v>
      </c>
      <c r="T21" s="51">
        <f t="shared" si="2"/>
        <v>12491330.626248</v>
      </c>
      <c r="U21" s="51">
        <f t="shared" si="3"/>
        <v>5269575.8497980107</v>
      </c>
    </row>
    <row r="22" spans="1:21" x14ac:dyDescent="0.25">
      <c r="A22" s="27" t="s">
        <v>7</v>
      </c>
      <c r="B22" s="25">
        <f>'Исходные данные'!A20</f>
        <v>2020</v>
      </c>
      <c r="C22" s="39">
        <f>IF(AND(Таблица16[[#This Row],[Год]]&gt;=Настройки!$B$4, Таблица16[[#This Row],[Год]]&lt;=Настройки!$B$5),IFERROR(VLOOKUP(Таблица16[[#This Row],[Год]],Данные[#All],9,FALSE),0),0)</f>
        <v>409374.7909255093</v>
      </c>
      <c r="D22" s="19">
        <f>VLOOKUP($A$6,Настройки!$L$2:$N$13,2,FALSE)</f>
        <v>1</v>
      </c>
      <c r="E22" s="19">
        <f>VLOOKUP($A$6,Настройки!$L$2:$N$13,3,FALSE)</f>
        <v>0</v>
      </c>
      <c r="F22" s="20">
        <f>D22*VLOOKUP(B22,'Исходные данные'!$A$4:$G$24,2,FALSE)+E22*VLOOKUP(B22,'Исходные данные'!$A$4:$G$24,3,FALSE)+(1-D22-E22)*VLOOKUP(B22,'Исходные данные'!$A$4:$G$24,4,FALSE)</f>
        <v>0.14824795244028999</v>
      </c>
      <c r="G22" s="40">
        <f t="shared" si="8"/>
        <v>12851033.470899522</v>
      </c>
      <c r="H22" s="21">
        <f t="shared" si="4"/>
        <v>1965828.3733378658</v>
      </c>
      <c r="I22" s="21">
        <f t="shared" si="5"/>
        <v>15226236.635162897</v>
      </c>
      <c r="J22" s="23">
        <f t="shared" si="9"/>
        <v>4374592.7031619865</v>
      </c>
      <c r="K22" s="22">
        <f t="shared" si="6"/>
        <v>2.4806066914886191</v>
      </c>
      <c r="L22" s="22">
        <f>IFERROR((1+K22)/VLOOKUP(B22,'Исходные данные'!$A$4:$G$24,6,FALSE)-1,"")</f>
        <v>-6.8002368714507822E-2</v>
      </c>
      <c r="M22" s="20">
        <f t="shared" si="7"/>
        <v>7.6123352472527772E-2</v>
      </c>
      <c r="Q22" s="25">
        <v>2023</v>
      </c>
      <c r="R22" s="51">
        <f t="shared" si="0"/>
        <v>19654735.437809303</v>
      </c>
      <c r="S22" s="51">
        <f t="shared" si="1"/>
        <v>11017801.948352957</v>
      </c>
      <c r="T22" s="51">
        <f t="shared" si="2"/>
        <v>16564499.591755429</v>
      </c>
      <c r="U22" s="51">
        <f t="shared" si="3"/>
        <v>5790665.5648591258</v>
      </c>
    </row>
    <row r="23" spans="1:21" x14ac:dyDescent="0.25">
      <c r="A23" s="27" t="s">
        <v>7</v>
      </c>
      <c r="B23" s="25">
        <f>'Исходные данные'!A21</f>
        <v>2021</v>
      </c>
      <c r="C23" s="39">
        <f>IF(AND(Таблица16[[#This Row],[Год]]&gt;=Настройки!$B$4, Таблица16[[#This Row],[Год]]&lt;=Настройки!$B$5),IFERROR(VLOOKUP(Таблица16[[#This Row],[Год]],Данные[#All],9,FALSE),0),0)</f>
        <v>429475.09315995179</v>
      </c>
      <c r="D23" s="19">
        <f>VLOOKUP($A$6,Настройки!$L$2:$N$13,2,FALSE)</f>
        <v>1</v>
      </c>
      <c r="E23" s="19">
        <f>VLOOKUP($A$6,Настройки!$L$2:$N$13,3,FALSE)</f>
        <v>0</v>
      </c>
      <c r="F23" s="20">
        <f>D23*VLOOKUP(B23,'Исходные данные'!$A$4:$G$24,2,FALSE)+E23*VLOOKUP(B23,'Исходные данные'!$A$4:$G$24,3,FALSE)+(1-D23-E23)*VLOOKUP(B23,'Исходные данные'!$A$4:$G$24,4,FALSE)</f>
        <v>0.21792711628367956</v>
      </c>
      <c r="G23" s="40">
        <f t="shared" si="8"/>
        <v>15226236.635162897</v>
      </c>
      <c r="H23" s="21">
        <f t="shared" si="4"/>
        <v>3411804.1103219795</v>
      </c>
      <c r="I23" s="21">
        <f t="shared" si="5"/>
        <v>19067515.838644829</v>
      </c>
      <c r="J23" s="23">
        <f t="shared" si="9"/>
        <v>4804067.7963219387</v>
      </c>
      <c r="K23" s="22">
        <f t="shared" si="6"/>
        <v>2.9690355438454019</v>
      </c>
      <c r="L23" s="22">
        <f>IFERROR((1+K23)/VLOOKUP(B23,'Исходные данные'!$A$4:$G$24,6,FALSE)-1,"")</f>
        <v>-1.9481866889584976E-2</v>
      </c>
      <c r="M23" s="20">
        <f t="shared" si="7"/>
        <v>7.9593539825805415E-2</v>
      </c>
      <c r="Q23" s="25">
        <v>2024</v>
      </c>
      <c r="R23" s="51">
        <f t="shared" si="0"/>
        <v>20545366.483889993</v>
      </c>
      <c r="S23" s="51">
        <f t="shared" si="1"/>
        <v>10575459.337805733</v>
      </c>
      <c r="T23" s="51">
        <f t="shared" si="2"/>
        <v>16523305.25040454</v>
      </c>
      <c r="U23" s="51">
        <f t="shared" si="3"/>
        <v>6350420.1367777754</v>
      </c>
    </row>
    <row r="24" spans="1:21" x14ac:dyDescent="0.25">
      <c r="A24" s="27" t="s">
        <v>7</v>
      </c>
      <c r="B24" s="25">
        <f>'Исходные данные'!A22</f>
        <v>2022</v>
      </c>
      <c r="C24" s="39">
        <f>IF(AND(Таблица16[[#This Row],[Год]]&gt;=Настройки!$B$4, Таблица16[[#This Row],[Год]]&lt;=Настройки!$B$5),IFERROR(VLOOKUP(Таблица16[[#This Row],[Год]],Данные[#All],9,FALSE),0),0)</f>
        <v>465508.0534760718</v>
      </c>
      <c r="D24" s="19">
        <f>VLOOKUP($A$6,Настройки!$L$2:$N$13,2,FALSE)</f>
        <v>1</v>
      </c>
      <c r="E24" s="19">
        <f>VLOOKUP($A$6,Настройки!$L$2:$N$13,3,FALSE)</f>
        <v>0</v>
      </c>
      <c r="F24" s="20">
        <f>D24*VLOOKUP(B24,'Исходные данные'!$A$4:$G$24,2,FALSE)+E24*VLOOKUP(B24,'Исходные данные'!$A$4:$G$24,3,FALSE)+(1-D24-E24)*VLOOKUP(B24,'Исходные данные'!$A$4:$G$24,4,FALSE)</f>
        <v>-0.37258001335165047</v>
      </c>
      <c r="G24" s="40">
        <f t="shared" si="8"/>
        <v>19067515.838644829</v>
      </c>
      <c r="H24" s="21">
        <f t="shared" si="4"/>
        <v>-7277614.3025245136</v>
      </c>
      <c r="I24" s="21">
        <f t="shared" si="5"/>
        <v>12255409.589596387</v>
      </c>
      <c r="J24" s="23">
        <f t="shared" si="9"/>
        <v>5269575.8497980107</v>
      </c>
      <c r="K24" s="22">
        <f t="shared" si="6"/>
        <v>1.3256918467292111</v>
      </c>
      <c r="L24" s="22">
        <f>IFERROR((1+K24)/VLOOKUP(B24,'Исходные данные'!$A$4:$G$24,6,FALSE)-1,"")</f>
        <v>-0.48673989402670992</v>
      </c>
      <c r="M24" s="20">
        <f t="shared" si="7"/>
        <v>4.5423406472198113E-2</v>
      </c>
    </row>
    <row r="25" spans="1:21" x14ac:dyDescent="0.25">
      <c r="A25" s="27" t="s">
        <v>7</v>
      </c>
      <c r="B25" s="25">
        <f>'Исходные данные'!A23</f>
        <v>2023</v>
      </c>
      <c r="C25" s="39">
        <f>IF(AND(Таблица16[[#This Row],[Год]]&gt;=Настройки!$B$4, Таблица16[[#This Row],[Год]]&lt;=Настройки!$B$5),IFERROR(VLOOKUP(Таблица16[[#This Row],[Год]],Данные[#All],9,FALSE),0),0)</f>
        <v>521089.71506111475</v>
      </c>
      <c r="D25" s="19">
        <f>VLOOKUP($A$6,Настройки!$L$2:$N$13,2,FALSE)</f>
        <v>1</v>
      </c>
      <c r="E25" s="19">
        <f>VLOOKUP($A$6,Настройки!$L$2:$N$13,3,FALSE)</f>
        <v>0</v>
      </c>
      <c r="F25" s="20">
        <f>D25*VLOOKUP(B25,'Исходные данные'!$A$4:$G$24,2,FALSE)+E25*VLOOKUP(B25,'Исходные данные'!$A$4:$G$24,3,FALSE)+(1-D25-E25)*VLOOKUP(B25,'Исходные данные'!$A$4:$G$24,4,FALSE)</f>
        <v>0.53835060521190137</v>
      </c>
      <c r="G25" s="40">
        <f t="shared" si="8"/>
        <v>12255409.589596387</v>
      </c>
      <c r="H25" s="21">
        <f t="shared" si="4"/>
        <v>6878236.1331518032</v>
      </c>
      <c r="I25" s="21">
        <f t="shared" si="5"/>
        <v>19654735.437809303</v>
      </c>
      <c r="J25" s="23">
        <f t="shared" si="9"/>
        <v>5790665.5648591258</v>
      </c>
      <c r="K25" s="22">
        <f t="shared" si="6"/>
        <v>2.3942100813220528</v>
      </c>
      <c r="L25" s="22">
        <f>IFERROR((1+K25)/VLOOKUP(B25,'Исходные данные'!$A$4:$G$24,6,FALSE)-1,"")</f>
        <v>-0.30266910011274673</v>
      </c>
      <c r="M25" s="20">
        <f t="shared" si="7"/>
        <v>6.3008986403778833E-2</v>
      </c>
    </row>
    <row r="26" spans="1:21" x14ac:dyDescent="0.25">
      <c r="A26" s="32" t="s">
        <v>7</v>
      </c>
      <c r="B26" s="33">
        <f>'Исходные данные'!A24</f>
        <v>2024</v>
      </c>
      <c r="C26" s="39">
        <f>IF(AND(Таблица16[[#This Row],[Год]]&gt;=Настройки!$B$4, Таблица16[[#This Row],[Год]]&lt;=Настройки!$B$5),IFERROR(VLOOKUP(Таблица16[[#This Row],[Год]],Данные[#All],9,FALSE),0),0)</f>
        <v>559754.57191864948</v>
      </c>
      <c r="D26" s="34">
        <f>VLOOKUP($A$6,Настройки!$L$2:$N$13,2,FALSE)</f>
        <v>1</v>
      </c>
      <c r="E26" s="34">
        <f>VLOOKUP($A$6,Настройки!$L$2:$N$13,3,FALSE)</f>
        <v>0</v>
      </c>
      <c r="F26" s="35">
        <f>D26*VLOOKUP(B26,'Исходные данные'!$A$4:$G$24,2,FALSE)+E26*VLOOKUP(B26,'Исходные данные'!$A$4:$G$24,3,FALSE)+(1-D26-E26)*VLOOKUP(B26,'Исходные данные'!$A$4:$G$24,4,FALSE)</f>
        <v>1.6368282059196826E-2</v>
      </c>
      <c r="G26" s="41">
        <f t="shared" si="8"/>
        <v>19654735.437809303</v>
      </c>
      <c r="H26" s="36">
        <f t="shared" si="4"/>
        <v>330876.47416204348</v>
      </c>
      <c r="I26" s="36">
        <f t="shared" si="5"/>
        <v>20545366.483889993</v>
      </c>
      <c r="J26" s="37">
        <f>J25+C26</f>
        <v>6350420.1367777754</v>
      </c>
      <c r="K26" s="22">
        <f t="shared" si="6"/>
        <v>2.2352767283700983</v>
      </c>
      <c r="L26" s="22">
        <f>IFERROR((1+K26)/VLOOKUP(B26,'Исходные данные'!$A$4:$G$24,6,FALSE)-1,"")</f>
        <v>-0.3930985297383166</v>
      </c>
      <c r="M26" s="20">
        <f t="shared" si="7"/>
        <v>5.7502729138598108E-2</v>
      </c>
    </row>
    <row r="29" spans="1:21" ht="30" x14ac:dyDescent="0.25">
      <c r="A29" s="28" t="s">
        <v>50</v>
      </c>
      <c r="B29" s="29" t="s">
        <v>10</v>
      </c>
      <c r="C29" s="28" t="s">
        <v>37</v>
      </c>
      <c r="D29" s="30" t="s">
        <v>53</v>
      </c>
      <c r="E29" s="30" t="s">
        <v>54</v>
      </c>
      <c r="F29" s="30" t="s">
        <v>55</v>
      </c>
      <c r="G29" s="30" t="s">
        <v>56</v>
      </c>
      <c r="H29" s="30" t="s">
        <v>57</v>
      </c>
      <c r="I29" s="30" t="s">
        <v>80</v>
      </c>
      <c r="J29" s="30" t="s">
        <v>79</v>
      </c>
      <c r="K29" s="30" t="s">
        <v>38</v>
      </c>
      <c r="L29" s="30" t="s">
        <v>83</v>
      </c>
      <c r="M29" s="31" t="s">
        <v>59</v>
      </c>
    </row>
    <row r="30" spans="1:21" x14ac:dyDescent="0.25">
      <c r="A30" s="27" t="s">
        <v>8</v>
      </c>
      <c r="B30" s="25">
        <f>'Исходные данные'!$A4</f>
        <v>2004</v>
      </c>
      <c r="C30" s="39">
        <f>IF(AND(Таблица15[[#This Row],[Год]]&gt;=Настройки!$B$4, Таблица15[[#This Row],[Год]]&lt;=Настройки!$B$5),IFERROR(VLOOKUP(Таблица15[[#This Row],[Год]],Данные[#All],9,FALSE),0),0)</f>
        <v>115000</v>
      </c>
      <c r="D30" s="19">
        <f>VLOOKUP($A$30,Настройки!$L$2:$N$13,2,FALSE)</f>
        <v>0</v>
      </c>
      <c r="E30" s="19">
        <f>VLOOKUP($A$30,Настройки!$L$2:$N$13,3,FALSE)</f>
        <v>1</v>
      </c>
      <c r="F30" s="20">
        <f>D30*VLOOKUP(B30,'Исходные данные'!$A$4:$G$24,2,FALSE)+E30*VLOOKUP(B30,'Исходные данные'!$A$4:$G$24,3,FALSE)+(1-D30-E30)*VLOOKUP(B30,'Исходные данные'!$A$4:$G$24,4,FALSE)</f>
        <v>0.10890158928990834</v>
      </c>
      <c r="G30" s="39">
        <f>0</f>
        <v>0</v>
      </c>
      <c r="H30" s="21">
        <f>(G30+C30)*F30</f>
        <v>12523.682768339459</v>
      </c>
      <c r="I30" s="21">
        <f>G30+C30+H30</f>
        <v>127523.68276833947</v>
      </c>
      <c r="J30" s="21">
        <f>C30</f>
        <v>115000</v>
      </c>
      <c r="K30" s="22">
        <f>IFERROR((I30-J30)/J30,"")</f>
        <v>0.1089015892899084</v>
      </c>
      <c r="L30" s="22">
        <f>IFERROR((1+K30)/VLOOKUP(B30,'Исходные данные'!$A$4:$G$24,6,FALSE)-1,"")</f>
        <v>-7.6055223823980889E-3</v>
      </c>
      <c r="M30" s="20">
        <f>IFERROR((I30/J30)^(1/(B30-$B$30+1))-1,"")</f>
        <v>0.10890158928990834</v>
      </c>
    </row>
    <row r="31" spans="1:21" x14ac:dyDescent="0.25">
      <c r="A31" s="27" t="s">
        <v>8</v>
      </c>
      <c r="B31" s="25">
        <f>'Исходные данные'!$A5</f>
        <v>2005</v>
      </c>
      <c r="C31" s="39">
        <f>IF(AND(Таблица15[[#This Row],[Год]]&gt;=Настройки!$B$4, Таблица15[[#This Row],[Год]]&lt;=Настройки!$B$5),IFERROR(VLOOKUP(Таблица15[[#This Row],[Год]],Данные[#All],9,FALSE),0),0)</f>
        <v>128501</v>
      </c>
      <c r="D31" s="19">
        <f>VLOOKUP($A$30,Настройки!$L$2:$N$13,2,FALSE)</f>
        <v>0</v>
      </c>
      <c r="E31" s="19">
        <f>VLOOKUP($A$30,Настройки!$L$2:$N$13,3,FALSE)</f>
        <v>1</v>
      </c>
      <c r="F31" s="20">
        <f>D31*VLOOKUP(B31,'Исходные данные'!$A$4:$G$24,2,FALSE)+E31*VLOOKUP(B31,'Исходные данные'!$A$4:$G$24,3,FALSE)+(1-D31-E31)*VLOOKUP(B31,'Исходные данные'!$A$4:$G$24,4,FALSE)</f>
        <v>0.11642191471335783</v>
      </c>
      <c r="G31" s="40">
        <f>I30</f>
        <v>127523.68276833947</v>
      </c>
      <c r="H31" s="21">
        <f t="shared" ref="H31:H50" si="10">(G31+C31)*F31</f>
        <v>29806.883781770113</v>
      </c>
      <c r="I31" s="21">
        <f t="shared" ref="I31:I50" si="11">G31+C31+H31</f>
        <v>285831.56655010959</v>
      </c>
      <c r="J31" s="23">
        <f>J30+C31</f>
        <v>243501</v>
      </c>
      <c r="K31" s="22">
        <f t="shared" ref="K31:K50" si="12">IFERROR((I31-J31)/J31,"")</f>
        <v>0.17384144849552813</v>
      </c>
      <c r="L31" s="22">
        <f>IFERROR((1+K31)/VLOOKUP(B31,'Исходные данные'!$A$4:$G$24,6,FALSE)-1,"")</f>
        <v>-5.2825345712167016E-2</v>
      </c>
      <c r="M31" s="20">
        <f t="shared" ref="M31:M50" si="13">IFERROR((I31/J31)^(1/(B31-$B$30+1))-1,"")</f>
        <v>8.3439637679703971E-2</v>
      </c>
    </row>
    <row r="32" spans="1:21" x14ac:dyDescent="0.25">
      <c r="A32" s="27" t="s">
        <v>8</v>
      </c>
      <c r="B32" s="25">
        <f>'Исходные данные'!$A6</f>
        <v>2006</v>
      </c>
      <c r="C32" s="39">
        <f>IF(AND(Таблица15[[#This Row],[Год]]&gt;=Настройки!$B$4, Таблица15[[#This Row],[Год]]&lt;=Настройки!$B$5),IFERROR(VLOOKUP(Таблица15[[#This Row],[Год]],Данные[#All],9,FALSE),0),0)</f>
        <v>142520.45910000001</v>
      </c>
      <c r="D32" s="19">
        <f>VLOOKUP($A$30,Настройки!$L$2:$N$13,2,FALSE)</f>
        <v>0</v>
      </c>
      <c r="E32" s="19">
        <f>VLOOKUP($A$30,Настройки!$L$2:$N$13,3,FALSE)</f>
        <v>1</v>
      </c>
      <c r="F32" s="20">
        <f>D32*VLOOKUP(B32,'Исходные данные'!$A$4:$G$24,2,FALSE)+E32*VLOOKUP(B32,'Исходные данные'!$A$4:$G$24,3,FALSE)+(1-D32-E32)*VLOOKUP(B32,'Исходные данные'!$A$4:$G$24,4,FALSE)</f>
        <v>6.8677670271295899E-2</v>
      </c>
      <c r="G32" s="40">
        <f>I31</f>
        <v>285831.56655010959</v>
      </c>
      <c r="H32" s="21">
        <f t="shared" si="10"/>
        <v>29418.219177639912</v>
      </c>
      <c r="I32" s="21">
        <f t="shared" si="11"/>
        <v>457770.24482774956</v>
      </c>
      <c r="J32" s="23">
        <f t="shared" ref="J32:J50" si="14">J31+C32</f>
        <v>386021.45909999998</v>
      </c>
      <c r="K32" s="22">
        <f t="shared" si="12"/>
        <v>0.18586735021164419</v>
      </c>
      <c r="L32" s="22">
        <f>IFERROR((1+K32)/VLOOKUP(B32,'Исходные данные'!$A$4:$G$24,6,FALSE)-1,"")</f>
        <v>-0.12212993140845385</v>
      </c>
      <c r="M32" s="20">
        <f t="shared" si="13"/>
        <v>5.8470367064211493E-2</v>
      </c>
    </row>
    <row r="33" spans="1:14" x14ac:dyDescent="0.25">
      <c r="A33" s="27" t="s">
        <v>8</v>
      </c>
      <c r="B33" s="25">
        <f>'Исходные данные'!$A7</f>
        <v>2007</v>
      </c>
      <c r="C33" s="39">
        <f>IF(AND(Таблица15[[#This Row],[Год]]&gt;=Настройки!$B$4, Таблица15[[#This Row],[Год]]&lt;=Настройки!$B$5),IFERROR(VLOOKUP(Таблица15[[#This Row],[Год]],Данные[#All],9,FALSE),0),0)</f>
        <v>155347.30041900001</v>
      </c>
      <c r="D33" s="19">
        <f>VLOOKUP($A$30,Настройки!$L$2:$N$13,2,FALSE)</f>
        <v>0</v>
      </c>
      <c r="E33" s="19">
        <f>VLOOKUP($A$30,Настройки!$L$2:$N$13,3,FALSE)</f>
        <v>1</v>
      </c>
      <c r="F33" s="20">
        <f>D33*VLOOKUP(B33,'Исходные данные'!$A$4:$G$24,2,FALSE)+E33*VLOOKUP(B33,'Исходные данные'!$A$4:$G$24,3,FALSE)+(1-D33-E33)*VLOOKUP(B33,'Исходные данные'!$A$4:$G$24,4,FALSE)</f>
        <v>7.402804899698201E-2</v>
      </c>
      <c r="G33" s="40">
        <f t="shared" ref="G33:G50" si="15">I32</f>
        <v>457770.24482774956</v>
      </c>
      <c r="H33" s="21">
        <f t="shared" si="10"/>
        <v>45387.895680435708</v>
      </c>
      <c r="I33" s="21">
        <f t="shared" si="11"/>
        <v>658505.44092718523</v>
      </c>
      <c r="J33" s="23">
        <f t="shared" si="14"/>
        <v>541368.75951899996</v>
      </c>
      <c r="K33" s="22">
        <f t="shared" si="12"/>
        <v>0.21637133533944572</v>
      </c>
      <c r="L33" s="22">
        <f>IFERROR((1+K33)/VLOOKUP(B33,'Исходные данные'!$A$4:$G$24,6,FALSE)-1,"")</f>
        <v>-0.19509121247024985</v>
      </c>
      <c r="M33" s="20">
        <f t="shared" si="13"/>
        <v>5.0186773469872215E-2</v>
      </c>
    </row>
    <row r="34" spans="1:14" x14ac:dyDescent="0.25">
      <c r="A34" s="27" t="s">
        <v>8</v>
      </c>
      <c r="B34" s="25">
        <f>'Исходные данные'!$A8</f>
        <v>2008</v>
      </c>
      <c r="C34" s="39">
        <f>IF(AND(Таблица15[[#This Row],[Год]]&gt;=Настройки!$B$4, Таблица15[[#This Row],[Год]]&lt;=Настройки!$B$5),IFERROR(VLOOKUP(Таблица15[[#This Row],[Год]],Данные[#All],9,FALSE),0),0)</f>
        <v>173787.02497873531</v>
      </c>
      <c r="D34" s="19">
        <f>VLOOKUP($A$30,Настройки!$L$2:$N$13,2,FALSE)</f>
        <v>0</v>
      </c>
      <c r="E34" s="19">
        <f>VLOOKUP($A$30,Настройки!$L$2:$N$13,3,FALSE)</f>
        <v>1</v>
      </c>
      <c r="F34" s="20">
        <f>D34*VLOOKUP(B34,'Исходные данные'!$A$4:$G$24,2,FALSE)+E34*VLOOKUP(B34,'Исходные данные'!$A$4:$G$24,3,FALSE)+(1-D34-E34)*VLOOKUP(B34,'Исходные данные'!$A$4:$G$24,4,FALSE)</f>
        <v>-5.5537190082644683E-2</v>
      </c>
      <c r="G34" s="40">
        <f t="shared" si="15"/>
        <v>658505.44092718523</v>
      </c>
      <c r="H34" s="21">
        <f t="shared" si="10"/>
        <v>-46223.184883370181</v>
      </c>
      <c r="I34" s="21">
        <f t="shared" si="11"/>
        <v>786069.28102255042</v>
      </c>
      <c r="J34" s="23">
        <f t="shared" si="14"/>
        <v>715155.78449773532</v>
      </c>
      <c r="K34" s="22">
        <f t="shared" si="12"/>
        <v>9.9158110808848052E-2</v>
      </c>
      <c r="L34" s="22">
        <f>IFERROR((1+K34)/VLOOKUP(B34,'Исходные данные'!$A$4:$G$24,6,FALSE)-1,"")</f>
        <v>-0.35792254604480811</v>
      </c>
      <c r="M34" s="20">
        <f t="shared" si="13"/>
        <v>1.9088812116417442E-2</v>
      </c>
      <c r="N34" s="24"/>
    </row>
    <row r="35" spans="1:14" x14ac:dyDescent="0.25">
      <c r="A35" s="27" t="s">
        <v>8</v>
      </c>
      <c r="B35" s="25">
        <f>'Исходные данные'!$A9</f>
        <v>2009</v>
      </c>
      <c r="C35" s="39">
        <f>IF(AND(Таблица15[[#This Row],[Год]]&gt;=Настройки!$B$4, Таблица15[[#This Row],[Год]]&lt;=Настройки!$B$5),IFERROR(VLOOKUP(Таблица15[[#This Row],[Год]],Данные[#All],9,FALSE),0),0)</f>
        <v>196865.94189591135</v>
      </c>
      <c r="D35" s="19">
        <f>VLOOKUP($A$30,Настройки!$L$2:$N$13,2,FALSE)</f>
        <v>0</v>
      </c>
      <c r="E35" s="19">
        <f>VLOOKUP($A$30,Настройки!$L$2:$N$13,3,FALSE)</f>
        <v>1</v>
      </c>
      <c r="F35" s="20">
        <f>D35*VLOOKUP(B35,'Исходные данные'!$A$4:$G$24,2,FALSE)+E35*VLOOKUP(B35,'Исходные данные'!$A$4:$G$24,3,FALSE)+(1-D35-E35)*VLOOKUP(B35,'Исходные данные'!$A$4:$G$24,4,FALSE)</f>
        <v>0.35328433088321076</v>
      </c>
      <c r="G35" s="40">
        <f t="shared" si="15"/>
        <v>786069.28102255042</v>
      </c>
      <c r="H35" s="21">
        <f t="shared" si="10"/>
        <v>347255.6125302884</v>
      </c>
      <c r="I35" s="21">
        <f t="shared" si="11"/>
        <v>1330190.8354487503</v>
      </c>
      <c r="J35" s="23">
        <f t="shared" si="14"/>
        <v>912021.72639364668</v>
      </c>
      <c r="K35" s="22">
        <f t="shared" si="12"/>
        <v>0.45850783698831921</v>
      </c>
      <c r="L35" s="22">
        <f>IFERROR((1+K35)/VLOOKUP(B35,'Исходные данные'!$A$4:$G$24,6,FALSE)-1,"")</f>
        <v>-0.21691821337634387</v>
      </c>
      <c r="M35" s="20">
        <f t="shared" si="13"/>
        <v>6.4922806035538239E-2</v>
      </c>
    </row>
    <row r="36" spans="1:14" x14ac:dyDescent="0.25">
      <c r="A36" s="27" t="s">
        <v>8</v>
      </c>
      <c r="B36" s="25">
        <f>'Исходные данные'!$A10</f>
        <v>2010</v>
      </c>
      <c r="C36" s="39">
        <f>IF(AND(Таблица15[[#This Row],[Год]]&gt;=Настройки!$B$4, Таблица15[[#This Row],[Год]]&lt;=Настройки!$B$5),IFERROR(VLOOKUP(Таблица15[[#This Row],[Год]],Данные[#All],9,FALSE),0),0)</f>
        <v>214190.14478275157</v>
      </c>
      <c r="D36" s="19">
        <f>VLOOKUP($A$30,Настройки!$L$2:$N$13,2,FALSE)</f>
        <v>0</v>
      </c>
      <c r="E36" s="19">
        <f>VLOOKUP($A$30,Настройки!$L$2:$N$13,3,FALSE)</f>
        <v>1</v>
      </c>
      <c r="F36" s="20">
        <f>D36*VLOOKUP(B36,'Исходные данные'!$A$4:$G$24,2,FALSE)+E36*VLOOKUP(B36,'Исходные данные'!$A$4:$G$24,3,FALSE)+(1-D36-E36)*VLOOKUP(B36,'Исходные данные'!$A$4:$G$24,4,FALSE)</f>
        <v>0.11147512716613495</v>
      </c>
      <c r="G36" s="40">
        <f t="shared" si="15"/>
        <v>1330190.8354487503</v>
      </c>
      <c r="H36" s="21">
        <f t="shared" si="10"/>
        <v>172160.06616426681</v>
      </c>
      <c r="I36" s="21">
        <f t="shared" si="11"/>
        <v>1716541.0463957686</v>
      </c>
      <c r="J36" s="23">
        <f t="shared" si="14"/>
        <v>1126211.8711763984</v>
      </c>
      <c r="K36" s="22">
        <f t="shared" si="12"/>
        <v>0.52417239626744005</v>
      </c>
      <c r="L36" s="22">
        <f>IFERROR((1+K36)/VLOOKUP(B36,'Исходные данные'!$A$4:$G$24,6,FALSE)-1,"")</f>
        <v>-0.24771328323475705</v>
      </c>
      <c r="M36" s="20">
        <f t="shared" si="13"/>
        <v>6.2056759657497906E-2</v>
      </c>
    </row>
    <row r="37" spans="1:14" x14ac:dyDescent="0.25">
      <c r="A37" s="27" t="s">
        <v>8</v>
      </c>
      <c r="B37" s="25">
        <f>'Исходные данные'!$A11</f>
        <v>2011</v>
      </c>
      <c r="C37" s="39">
        <f>IF(AND(Таблица15[[#This Row],[Год]]&gt;=Настройки!$B$4, Таблица15[[#This Row],[Год]]&lt;=Настройки!$B$5),IFERROR(VLOOKUP(Таблица15[[#This Row],[Год]],Данные[#All],9,FALSE),0),0)</f>
        <v>232996.03949467718</v>
      </c>
      <c r="D37" s="19">
        <f>VLOOKUP($A$30,Настройки!$L$2:$N$13,2,FALSE)</f>
        <v>0</v>
      </c>
      <c r="E37" s="19">
        <f>VLOOKUP($A$30,Настройки!$L$2:$N$13,3,FALSE)</f>
        <v>1</v>
      </c>
      <c r="F37" s="20">
        <f>D37*VLOOKUP(B37,'Исходные данные'!$A$4:$G$24,2,FALSE)+E37*VLOOKUP(B37,'Исходные данные'!$A$4:$G$24,3,FALSE)+(1-D37-E37)*VLOOKUP(B37,'Исходные данные'!$A$4:$G$24,4,FALSE)</f>
        <v>5.7942910331988839E-2</v>
      </c>
      <c r="G37" s="40">
        <f t="shared" si="15"/>
        <v>1716541.0463957686</v>
      </c>
      <c r="H37" s="21">
        <f t="shared" si="10"/>
        <v>112961.85255663694</v>
      </c>
      <c r="I37" s="21">
        <f t="shared" si="11"/>
        <v>2062498.9384470829</v>
      </c>
      <c r="J37" s="23">
        <f t="shared" si="14"/>
        <v>1359207.9106710756</v>
      </c>
      <c r="K37" s="22">
        <f t="shared" si="12"/>
        <v>0.51742711490604454</v>
      </c>
      <c r="L37" s="22">
        <f>IFERROR((1+K37)/VLOOKUP(B37,'Исходные данные'!$A$4:$G$24,6,FALSE)-1,"")</f>
        <v>-0.29410231474825821</v>
      </c>
      <c r="M37" s="20">
        <f t="shared" si="13"/>
        <v>5.3509557788475659E-2</v>
      </c>
    </row>
    <row r="38" spans="1:14" x14ac:dyDescent="0.25">
      <c r="A38" s="27" t="s">
        <v>8</v>
      </c>
      <c r="B38" s="25">
        <f>'Исходные данные'!$A12</f>
        <v>2012</v>
      </c>
      <c r="C38" s="39">
        <f>IF(AND(Таблица15[[#This Row],[Год]]&gt;=Настройки!$B$4, Таблица15[[#This Row],[Год]]&lt;=Настройки!$B$5),IFERROR(VLOOKUP(Таблица15[[#This Row],[Год]],Данные[#All],9,FALSE),0),0)</f>
        <v>247208.79790385248</v>
      </c>
      <c r="D38" s="19">
        <f>VLOOKUP($A$30,Настройки!$L$2:$N$13,2,FALSE)</f>
        <v>0</v>
      </c>
      <c r="E38" s="19">
        <f>VLOOKUP($A$30,Настройки!$L$2:$N$13,3,FALSE)</f>
        <v>1</v>
      </c>
      <c r="F38" s="20">
        <f>D38*VLOOKUP(B38,'Исходные данные'!$A$4:$G$24,2,FALSE)+E38*VLOOKUP(B38,'Исходные данные'!$A$4:$G$24,3,FALSE)+(1-D38-E38)*VLOOKUP(B38,'Исходные данные'!$A$4:$G$24,4,FALSE)</f>
        <v>0.14645501869638555</v>
      </c>
      <c r="G38" s="40">
        <f t="shared" si="15"/>
        <v>2062498.9384470829</v>
      </c>
      <c r="H38" s="21">
        <f t="shared" si="10"/>
        <v>338268.28971046262</v>
      </c>
      <c r="I38" s="21">
        <f t="shared" si="11"/>
        <v>2647976.026061398</v>
      </c>
      <c r="J38" s="23">
        <f t="shared" si="14"/>
        <v>1606416.7085749281</v>
      </c>
      <c r="K38" s="22">
        <f t="shared" si="12"/>
        <v>0.64837430532607565</v>
      </c>
      <c r="L38" s="22">
        <f>IFERROR((1+K38)/VLOOKUP(B38,'Исходные данные'!$A$4:$G$24,6,FALSE)-1,"")</f>
        <v>-0.28052776664035073</v>
      </c>
      <c r="M38" s="20">
        <f t="shared" si="13"/>
        <v>5.7103023848714241E-2</v>
      </c>
    </row>
    <row r="39" spans="1:14" x14ac:dyDescent="0.25">
      <c r="A39" s="27" t="s">
        <v>8</v>
      </c>
      <c r="B39" s="25">
        <f>'Исходные данные'!$A13</f>
        <v>2013</v>
      </c>
      <c r="C39" s="39">
        <f>IF(AND(Таблица15[[#This Row],[Год]]&gt;=Настройки!$B$4, Таблица15[[#This Row],[Год]]&lt;=Настройки!$B$5),IFERROR(VLOOKUP(Таблица15[[#This Row],[Год]],Данные[#All],9,FALSE),0),0)</f>
        <v>263475.13680592598</v>
      </c>
      <c r="D39" s="19">
        <f>VLOOKUP($A$30,Настройки!$L$2:$N$13,2,FALSE)</f>
        <v>0</v>
      </c>
      <c r="E39" s="19">
        <f>VLOOKUP($A$30,Настройки!$L$2:$N$13,3,FALSE)</f>
        <v>1</v>
      </c>
      <c r="F39" s="20">
        <f>D39*VLOOKUP(B39,'Исходные данные'!$A$4:$G$24,2,FALSE)+E39*VLOOKUP(B39,'Исходные данные'!$A$4:$G$24,3,FALSE)+(1-D39-E39)*VLOOKUP(B39,'Исходные данные'!$A$4:$G$24,4,FALSE)</f>
        <v>3.8020017267291317E-2</v>
      </c>
      <c r="G39" s="40">
        <f t="shared" si="15"/>
        <v>2647976.026061398</v>
      </c>
      <c r="H39" s="21">
        <f t="shared" si="10"/>
        <v>110693.42348509104</v>
      </c>
      <c r="I39" s="21">
        <f t="shared" si="11"/>
        <v>3022144.5863524149</v>
      </c>
      <c r="J39" s="23">
        <f t="shared" si="14"/>
        <v>1869891.8453808541</v>
      </c>
      <c r="K39" s="22">
        <f t="shared" si="12"/>
        <v>0.61621357610491823</v>
      </c>
      <c r="L39" s="22">
        <f>IFERROR((1+K39)/VLOOKUP(B39,'Исходные данные'!$A$4:$G$24,6,FALSE)-1,"")</f>
        <v>-0.33730867359911021</v>
      </c>
      <c r="M39" s="20">
        <f t="shared" si="13"/>
        <v>4.9179690275209298E-2</v>
      </c>
    </row>
    <row r="40" spans="1:14" x14ac:dyDescent="0.25">
      <c r="A40" s="27" t="s">
        <v>8</v>
      </c>
      <c r="B40" s="25">
        <f>'Исходные данные'!$A14</f>
        <v>2014</v>
      </c>
      <c r="C40" s="39">
        <f>IF(AND(Таблица15[[#This Row],[Год]]&gt;=Настройки!$B$4, Таблица15[[#This Row],[Год]]&lt;=Настройки!$B$5),IFERROR(VLOOKUP(Таблица15[[#This Row],[Год]],Данные[#All],9,FALSE),0),0)</f>
        <v>280469.2831299082</v>
      </c>
      <c r="D40" s="19">
        <f>VLOOKUP($A$30,Настройки!$L$2:$N$13,2,FALSE)</f>
        <v>0</v>
      </c>
      <c r="E40" s="19">
        <f>VLOOKUP($A$30,Настройки!$L$2:$N$13,3,FALSE)</f>
        <v>1</v>
      </c>
      <c r="F40" s="20">
        <f>D40*VLOOKUP(B40,'Исходные данные'!$A$4:$G$24,2,FALSE)+E40*VLOOKUP(B40,'Исходные данные'!$A$4:$G$24,3,FALSE)+(1-D40-E40)*VLOOKUP(B40,'Исходные данные'!$A$4:$G$24,4,FALSE)</f>
        <v>-0.14355246133941235</v>
      </c>
      <c r="G40" s="40">
        <f t="shared" si="15"/>
        <v>3022144.5863524149</v>
      </c>
      <c r="H40" s="21">
        <f t="shared" si="10"/>
        <v>-474098.34981786821</v>
      </c>
      <c r="I40" s="21">
        <f t="shared" si="11"/>
        <v>2828515.5196644547</v>
      </c>
      <c r="J40" s="23">
        <f t="shared" si="14"/>
        <v>2150361.1285107625</v>
      </c>
      <c r="K40" s="22">
        <f t="shared" si="12"/>
        <v>0.31536767576493052</v>
      </c>
      <c r="L40" s="22">
        <f>IFERROR((1+K40)/VLOOKUP(B40,'Исходные данные'!$A$4:$G$24,6,FALSE)-1,"")</f>
        <v>-0.51568214652251776</v>
      </c>
      <c r="M40" s="20">
        <f t="shared" si="13"/>
        <v>2.5232747023832047E-2</v>
      </c>
    </row>
    <row r="41" spans="1:14" x14ac:dyDescent="0.25">
      <c r="A41" s="27" t="s">
        <v>8</v>
      </c>
      <c r="B41" s="25">
        <f>'Исходные данные'!$A15</f>
        <v>2015</v>
      </c>
      <c r="C41" s="39">
        <f>IF(AND(Таблица15[[#This Row],[Год]]&gt;=Настройки!$B$4, Таблица15[[#This Row],[Год]]&lt;=Настройки!$B$5),IFERROR(VLOOKUP(Таблица15[[#This Row],[Год]],Данные[#All],9,FALSE),0),0)</f>
        <v>312330.59369346575</v>
      </c>
      <c r="D41" s="19">
        <f>VLOOKUP($A$30,Настройки!$L$2:$N$13,2,FALSE)</f>
        <v>0</v>
      </c>
      <c r="E41" s="19">
        <f>VLOOKUP($A$30,Настройки!$L$2:$N$13,3,FALSE)</f>
        <v>1</v>
      </c>
      <c r="F41" s="20">
        <f>D41*VLOOKUP(B41,'Исходные данные'!$A$4:$G$24,2,FALSE)+E41*VLOOKUP(B41,'Исходные данные'!$A$4:$G$24,3,FALSE)+(1-D41-E41)*VLOOKUP(B41,'Исходные данные'!$A$4:$G$24,4,FALSE)</f>
        <v>0.2955542766707433</v>
      </c>
      <c r="G41" s="40">
        <f t="shared" si="15"/>
        <v>2828515.5196644547</v>
      </c>
      <c r="H41" s="21">
        <f t="shared" si="10"/>
        <v>928290.50116761564</v>
      </c>
      <c r="I41" s="21">
        <f t="shared" si="11"/>
        <v>4069136.6145255361</v>
      </c>
      <c r="J41" s="23">
        <f t="shared" si="14"/>
        <v>2462691.7222042284</v>
      </c>
      <c r="K41" s="22">
        <f t="shared" si="12"/>
        <v>0.65231262111989463</v>
      </c>
      <c r="L41" s="22">
        <f>IFERROR((1+K41)/VLOOKUP(B41,'Исходные данные'!$A$4:$G$24,6,FALSE)-1,"")</f>
        <v>-0.46118072098144425</v>
      </c>
      <c r="M41" s="20">
        <f t="shared" si="13"/>
        <v>4.2735961727000449E-2</v>
      </c>
    </row>
    <row r="42" spans="1:14" x14ac:dyDescent="0.25">
      <c r="A42" s="27" t="s">
        <v>8</v>
      </c>
      <c r="B42" s="25">
        <f>'Исходные данные'!$A16</f>
        <v>2016</v>
      </c>
      <c r="C42" s="39">
        <f>IF(AND(Таблица15[[#This Row],[Год]]&gt;=Настройки!$B$4, Таблица15[[#This Row],[Год]]&lt;=Настройки!$B$5),IFERROR(VLOOKUP(Таблица15[[#This Row],[Год]],Данные[#All],9,FALSE),0),0)</f>
        <v>352652.47333929216</v>
      </c>
      <c r="D42" s="19">
        <f>VLOOKUP($A$30,Настройки!$L$2:$N$13,2,FALSE)</f>
        <v>0</v>
      </c>
      <c r="E42" s="19">
        <f>VLOOKUP($A$30,Настройки!$L$2:$N$13,3,FALSE)</f>
        <v>1</v>
      </c>
      <c r="F42" s="20">
        <f>D42*VLOOKUP(B42,'Исходные данные'!$A$4:$G$24,2,FALSE)+E42*VLOOKUP(B42,'Исходные данные'!$A$4:$G$24,3,FALSE)+(1-D42-E42)*VLOOKUP(B42,'Исходные данные'!$A$4:$G$24,4,FALSE)</f>
        <v>0.14878258696798907</v>
      </c>
      <c r="G42" s="40">
        <f t="shared" si="15"/>
        <v>4069136.6145255361</v>
      </c>
      <c r="H42" s="21">
        <f t="shared" si="10"/>
        <v>657885.21951935394</v>
      </c>
      <c r="I42" s="21">
        <f t="shared" si="11"/>
        <v>5079674.3073841818</v>
      </c>
      <c r="J42" s="23">
        <f t="shared" si="14"/>
        <v>2815344.1955435206</v>
      </c>
      <c r="K42" s="22">
        <f t="shared" si="12"/>
        <v>0.80428180519629766</v>
      </c>
      <c r="L42" s="22">
        <f>IFERROR((1+K42)/VLOOKUP(B42,'Исходные данные'!$A$4:$G$24,6,FALSE)-1,"")</f>
        <v>-0.44166213493706497</v>
      </c>
      <c r="M42" s="20">
        <f t="shared" si="13"/>
        <v>4.6443345874764175E-2</v>
      </c>
    </row>
    <row r="43" spans="1:14" x14ac:dyDescent="0.25">
      <c r="A43" s="27" t="s">
        <v>8</v>
      </c>
      <c r="B43" s="25">
        <f>'Исходные данные'!$A17</f>
        <v>2017</v>
      </c>
      <c r="C43" s="39">
        <f>IF(AND(Таблица15[[#This Row],[Год]]&gt;=Настройки!$B$4, Таблица15[[#This Row],[Год]]&lt;=Настройки!$B$5),IFERROR(VLOOKUP(Таблица15[[#This Row],[Год]],Данные[#All],9,FALSE),0),0)</f>
        <v>371625.17640494613</v>
      </c>
      <c r="D43" s="19">
        <f>VLOOKUP($A$30,Настройки!$L$2:$N$13,2,FALSE)</f>
        <v>0</v>
      </c>
      <c r="E43" s="19">
        <f>VLOOKUP($A$30,Настройки!$L$2:$N$13,3,FALSE)</f>
        <v>1</v>
      </c>
      <c r="F43" s="20">
        <f>D43*VLOOKUP(B43,'Исходные данные'!$A$4:$G$24,2,FALSE)+E43*VLOOKUP(B43,'Исходные данные'!$A$4:$G$24,3,FALSE)+(1-D43-E43)*VLOOKUP(B43,'Исходные данные'!$A$4:$G$24,4,FALSE)</f>
        <v>0.12738653390690713</v>
      </c>
      <c r="G43" s="40">
        <f t="shared" si="15"/>
        <v>5079674.3073841818</v>
      </c>
      <c r="H43" s="21">
        <f t="shared" si="10"/>
        <v>694422.1465284091</v>
      </c>
      <c r="I43" s="21">
        <f t="shared" si="11"/>
        <v>6145721.6303175371</v>
      </c>
      <c r="J43" s="23">
        <f t="shared" si="14"/>
        <v>3186969.3719484666</v>
      </c>
      <c r="K43" s="22">
        <f t="shared" si="12"/>
        <v>0.92839055323588893</v>
      </c>
      <c r="L43" s="22">
        <f>IFERROR((1+K43)/VLOOKUP(B43,'Исходные данные'!$A$4:$G$24,6,FALSE)-1,"")</f>
        <v>-0.41792478160219237</v>
      </c>
      <c r="M43" s="20">
        <f t="shared" si="13"/>
        <v>4.8023620853423044E-2</v>
      </c>
    </row>
    <row r="44" spans="1:14" x14ac:dyDescent="0.25">
      <c r="A44" s="27" t="s">
        <v>8</v>
      </c>
      <c r="B44" s="25">
        <f>'Исходные данные'!$A18</f>
        <v>2018</v>
      </c>
      <c r="C44" s="39">
        <f>IF(AND(Таблица15[[#This Row],[Год]]&gt;=Настройки!$B$4, Таблица15[[#This Row],[Год]]&lt;=Настройки!$B$5),IFERROR(VLOOKUP(Таблица15[[#This Row],[Год]],Данные[#All],9,FALSE),0),0)</f>
        <v>380990.13085035072</v>
      </c>
      <c r="D44" s="19">
        <f>VLOOKUP($A$30,Настройки!$L$2:$N$13,2,FALSE)</f>
        <v>0</v>
      </c>
      <c r="E44" s="19">
        <f>VLOOKUP($A$30,Настройки!$L$2:$N$13,3,FALSE)</f>
        <v>1</v>
      </c>
      <c r="F44" s="20">
        <f>D44*VLOOKUP(B44,'Исходные данные'!$A$4:$G$24,2,FALSE)+E44*VLOOKUP(B44,'Исходные данные'!$A$4:$G$24,3,FALSE)+(1-D44-E44)*VLOOKUP(B44,'Исходные данные'!$A$4:$G$24,4,FALSE)</f>
        <v>2.1222319878239526E-2</v>
      </c>
      <c r="G44" s="40">
        <f t="shared" si="15"/>
        <v>6145721.6303175371</v>
      </c>
      <c r="H44" s="21">
        <f t="shared" si="10"/>
        <v>138511.96474857297</v>
      </c>
      <c r="I44" s="21">
        <f t="shared" si="11"/>
        <v>6665223.7259164602</v>
      </c>
      <c r="J44" s="23">
        <f t="shared" si="14"/>
        <v>3567959.5027988171</v>
      </c>
      <c r="K44" s="22">
        <f t="shared" si="12"/>
        <v>0.86807717988056021</v>
      </c>
      <c r="L44" s="22">
        <f>IFERROR((1+K44)/VLOOKUP(B44,'Исходные данные'!$A$4:$G$24,6,FALSE)-1,"")</f>
        <v>-0.45922132651549019</v>
      </c>
      <c r="M44" s="20">
        <f t="shared" si="13"/>
        <v>4.2540626004888393E-2</v>
      </c>
    </row>
    <row r="45" spans="1:14" x14ac:dyDescent="0.25">
      <c r="A45" s="27" t="s">
        <v>8</v>
      </c>
      <c r="B45" s="25">
        <f>'Исходные данные'!$A19</f>
        <v>2019</v>
      </c>
      <c r="C45" s="39">
        <f>IF(AND(Таблица15[[#This Row],[Год]]&gt;=Настройки!$B$4, Таблица15[[#This Row],[Год]]&lt;=Настройки!$B$5),IFERROR(VLOOKUP(Таблица15[[#This Row],[Год]],Данные[#All],9,FALSE),0),0)</f>
        <v>397258.40943766065</v>
      </c>
      <c r="D45" s="19">
        <f>VLOOKUP($A$30,Настройки!$L$2:$N$13,2,FALSE)</f>
        <v>0</v>
      </c>
      <c r="E45" s="19">
        <f>VLOOKUP($A$30,Настройки!$L$2:$N$13,3,FALSE)</f>
        <v>1</v>
      </c>
      <c r="F45" s="20">
        <f>D45*VLOOKUP(B45,'Исходные данные'!$A$4:$G$24,2,FALSE)+E45*VLOOKUP(B45,'Исходные данные'!$A$4:$G$24,3,FALSE)+(1-D45-E45)*VLOOKUP(B45,'Исходные данные'!$A$4:$G$24,4,FALSE)</f>
        <v>0.19992023342219611</v>
      </c>
      <c r="G45" s="40">
        <f t="shared" si="15"/>
        <v>6665223.7259164602</v>
      </c>
      <c r="H45" s="21">
        <f t="shared" si="10"/>
        <v>1411933.077040086</v>
      </c>
      <c r="I45" s="21">
        <f t="shared" si="11"/>
        <v>8474415.2123942077</v>
      </c>
      <c r="J45" s="23">
        <f t="shared" si="14"/>
        <v>3965217.9122364777</v>
      </c>
      <c r="K45" s="22">
        <f t="shared" si="12"/>
        <v>1.1371877662114247</v>
      </c>
      <c r="L45" s="22">
        <f>IFERROR((1+K45)/VLOOKUP(B45,'Исходные данные'!$A$4:$G$24,6,FALSE)-1,"")</f>
        <v>-0.39962938959024508</v>
      </c>
      <c r="M45" s="20">
        <f t="shared" si="13"/>
        <v>4.8612830903496995E-2</v>
      </c>
    </row>
    <row r="46" spans="1:14" x14ac:dyDescent="0.25">
      <c r="A46" s="27" t="s">
        <v>8</v>
      </c>
      <c r="B46" s="25">
        <f>'Исходные данные'!$A20</f>
        <v>2020</v>
      </c>
      <c r="C46" s="39">
        <f>IF(AND(Таблица15[[#This Row],[Год]]&gt;=Настройки!$B$4, Таблица15[[#This Row],[Год]]&lt;=Настройки!$B$5),IFERROR(VLOOKUP(Таблица15[[#This Row],[Год]],Данные[#All],9,FALSE),0),0)</f>
        <v>409374.7909255093</v>
      </c>
      <c r="D46" s="19">
        <f>VLOOKUP($A$30,Настройки!$L$2:$N$13,2,FALSE)</f>
        <v>0</v>
      </c>
      <c r="E46" s="19">
        <f>VLOOKUP($A$30,Настройки!$L$2:$N$13,3,FALSE)</f>
        <v>1</v>
      </c>
      <c r="F46" s="20">
        <f>D46*VLOOKUP(B46,'Исходные данные'!$A$4:$G$24,2,FALSE)+E46*VLOOKUP(B46,'Исходные данные'!$A$4:$G$24,3,FALSE)+(1-D46-E46)*VLOOKUP(B46,'Исходные данные'!$A$4:$G$24,4,FALSE)</f>
        <v>8.5404894774592011E-2</v>
      </c>
      <c r="G46" s="40">
        <f t="shared" si="15"/>
        <v>8474415.2123942077</v>
      </c>
      <c r="H46" s="21">
        <f t="shared" si="10"/>
        <v>758719.15043309296</v>
      </c>
      <c r="I46" s="21">
        <f t="shared" si="11"/>
        <v>9642509.1537528113</v>
      </c>
      <c r="J46" s="23">
        <f t="shared" si="14"/>
        <v>4374592.7031619865</v>
      </c>
      <c r="K46" s="22">
        <f t="shared" si="12"/>
        <v>1.2042072960948198</v>
      </c>
      <c r="L46" s="22">
        <f>IFERROR((1+K46)/VLOOKUP(B46,'Исходные данные'!$A$4:$G$24,6,FALSE)-1,"")</f>
        <v>-0.40978221301299567</v>
      </c>
      <c r="M46" s="20">
        <f t="shared" si="13"/>
        <v>4.7589941195411933E-2</v>
      </c>
    </row>
    <row r="47" spans="1:14" x14ac:dyDescent="0.25">
      <c r="A47" s="27" t="s">
        <v>8</v>
      </c>
      <c r="B47" s="25">
        <f>'Исходные данные'!$A21</f>
        <v>2021</v>
      </c>
      <c r="C47" s="39">
        <f>IF(AND(Таблица15[[#This Row],[Год]]&gt;=Настройки!$B$4, Таблица15[[#This Row],[Год]]&lt;=Настройки!$B$5),IFERROR(VLOOKUP(Таблица15[[#This Row],[Год]],Данные[#All],9,FALSE),0),0)</f>
        <v>429475.09315995179</v>
      </c>
      <c r="D47" s="19">
        <f>VLOOKUP($A$30,Настройки!$L$2:$N$13,2,FALSE)</f>
        <v>0</v>
      </c>
      <c r="E47" s="19">
        <f>VLOOKUP($A$30,Настройки!$L$2:$N$13,3,FALSE)</f>
        <v>1</v>
      </c>
      <c r="F47" s="20">
        <f>D47*VLOOKUP(B47,'Исходные данные'!$A$4:$G$24,2,FALSE)+E47*VLOOKUP(B47,'Исходные данные'!$A$4:$G$24,3,FALSE)+(1-D47-E47)*VLOOKUP(B47,'Исходные данные'!$A$4:$G$24,4,FALSE)</f>
        <v>-5.0415021355467937E-2</v>
      </c>
      <c r="G47" s="40">
        <f t="shared" si="15"/>
        <v>9642509.1537528113</v>
      </c>
      <c r="H47" s="21">
        <f t="shared" si="10"/>
        <v>-507779.30090004357</v>
      </c>
      <c r="I47" s="21">
        <f t="shared" si="11"/>
        <v>9564204.9460127186</v>
      </c>
      <c r="J47" s="23">
        <f t="shared" si="14"/>
        <v>4804067.7963219387</v>
      </c>
      <c r="K47" s="22">
        <f t="shared" si="12"/>
        <v>0.99085553150086836</v>
      </c>
      <c r="L47" s="22">
        <f>IFERROR((1+K47)/VLOOKUP(B47,'Исходные данные'!$A$4:$G$24,6,FALSE)-1,"")</f>
        <v>-0.50817524119511637</v>
      </c>
      <c r="M47" s="20">
        <f t="shared" si="13"/>
        <v>3.8994668995226967E-2</v>
      </c>
    </row>
    <row r="48" spans="1:14" x14ac:dyDescent="0.25">
      <c r="A48" s="27" t="s">
        <v>8</v>
      </c>
      <c r="B48" s="25">
        <f>'Исходные данные'!$A22</f>
        <v>2022</v>
      </c>
      <c r="C48" s="39">
        <f>IF(AND(Таблица15[[#This Row],[Год]]&gt;=Настройки!$B$4, Таблица15[[#This Row],[Год]]&lt;=Настройки!$B$5),IFERROR(VLOOKUP(Таблица15[[#This Row],[Год]],Данные[#All],9,FALSE),0),0)</f>
        <v>465508.0534760718</v>
      </c>
      <c r="D48" s="19">
        <f>VLOOKUP($A$30,Настройки!$L$2:$N$13,2,FALSE)</f>
        <v>0</v>
      </c>
      <c r="E48" s="19">
        <f>VLOOKUP($A$30,Настройки!$L$2:$N$13,3,FALSE)</f>
        <v>1</v>
      </c>
      <c r="F48" s="20">
        <f>D48*VLOOKUP(B48,'Исходные данные'!$A$4:$G$24,2,FALSE)+E48*VLOOKUP(B48,'Исходные данные'!$A$4:$G$24,3,FALSE)+(1-D48-E48)*VLOOKUP(B48,'Исходные данные'!$A$4:$G$24,4,FALSE)</f>
        <v>3.8274182324286921E-2</v>
      </c>
      <c r="G48" s="40">
        <f t="shared" si="15"/>
        <v>9564204.9460127186</v>
      </c>
      <c r="H48" s="21">
        <f t="shared" si="10"/>
        <v>383879.06400270457</v>
      </c>
      <c r="I48" s="21">
        <f t="shared" si="11"/>
        <v>10413592.063491493</v>
      </c>
      <c r="J48" s="23">
        <f t="shared" si="14"/>
        <v>5269575.8497980107</v>
      </c>
      <c r="K48" s="22">
        <f t="shared" si="12"/>
        <v>0.97617272439311398</v>
      </c>
      <c r="L48" s="22">
        <f>IFERROR((1+K48)/VLOOKUP(B48,'Исходные данные'!$A$4:$G$24,6,FALSE)-1,"")</f>
        <v>-0.56387574589040879</v>
      </c>
      <c r="M48" s="20">
        <f t="shared" si="13"/>
        <v>3.6501014769751539E-2</v>
      </c>
    </row>
    <row r="49" spans="1:14" x14ac:dyDescent="0.25">
      <c r="A49" s="27" t="s">
        <v>8</v>
      </c>
      <c r="B49" s="25">
        <f>'Исходные данные'!$A23</f>
        <v>2023</v>
      </c>
      <c r="C49" s="39">
        <f>IF(AND(Таблица15[[#This Row],[Год]]&gt;=Настройки!$B$4, Таблица15[[#This Row],[Год]]&lt;=Настройки!$B$5),IFERROR(VLOOKUP(Таблица15[[#This Row],[Год]],Данные[#All],9,FALSE),0),0)</f>
        <v>521089.71506111475</v>
      </c>
      <c r="D49" s="19">
        <f>VLOOKUP($A$30,Настройки!$L$2:$N$13,2,FALSE)</f>
        <v>0</v>
      </c>
      <c r="E49" s="19">
        <f>VLOOKUP($A$30,Настройки!$L$2:$N$13,3,FALSE)</f>
        <v>1</v>
      </c>
      <c r="F49" s="20">
        <f>D49*VLOOKUP(B49,'Исходные данные'!$A$4:$G$24,2,FALSE)+E49*VLOOKUP(B49,'Исходные данные'!$A$4:$G$24,3,FALSE)+(1-D49-E49)*VLOOKUP(B49,'Исходные данные'!$A$4:$G$24,4,FALSE)</f>
        <v>7.6015170339369664E-3</v>
      </c>
      <c r="G49" s="40">
        <f t="shared" si="15"/>
        <v>10413592.063491493</v>
      </c>
      <c r="H49" s="21">
        <f t="shared" si="10"/>
        <v>83120.169800347823</v>
      </c>
      <c r="I49" s="21">
        <f t="shared" si="11"/>
        <v>11017801.948352957</v>
      </c>
      <c r="J49" s="23">
        <f t="shared" si="14"/>
        <v>5790665.5648591258</v>
      </c>
      <c r="K49" s="22">
        <f t="shared" si="12"/>
        <v>0.90268317604368442</v>
      </c>
      <c r="L49" s="22">
        <f>IFERROR((1+K49)/VLOOKUP(B49,'Исходные данные'!$A$4:$G$24,6,FALSE)-1,"")</f>
        <v>-0.60909910124535127</v>
      </c>
      <c r="M49" s="20">
        <f t="shared" si="13"/>
        <v>3.2686082084632861E-2</v>
      </c>
    </row>
    <row r="50" spans="1:14" x14ac:dyDescent="0.25">
      <c r="A50" s="32" t="s">
        <v>8</v>
      </c>
      <c r="B50" s="33">
        <f>'Исходные данные'!$A24</f>
        <v>2024</v>
      </c>
      <c r="C50" s="39">
        <f>IF(AND(Таблица15[[#This Row],[Год]]&gt;=Настройки!$B$4, Таблица15[[#This Row],[Год]]&lt;=Настройки!$B$5),IFERROR(VLOOKUP(Таблица15[[#This Row],[Год]],Данные[#All],9,FALSE),0),0)</f>
        <v>559754.57191864948</v>
      </c>
      <c r="D50" s="34">
        <f>VLOOKUP($A$30,Настройки!$L$2:$N$13,2,FALSE)</f>
        <v>0</v>
      </c>
      <c r="E50" s="34">
        <f>VLOOKUP($A$30,Настройки!$L$2:$N$13,3,FALSE)</f>
        <v>1</v>
      </c>
      <c r="F50" s="35">
        <f>D50*VLOOKUP(B50,'Исходные данные'!$A$4:$G$24,2,FALSE)+E50*VLOOKUP(B50,'Исходные данные'!$A$4:$G$24,3,FALSE)+(1-D50-E50)*VLOOKUP(B50,'Исходные данные'!$A$4:$G$24,4,FALSE)</f>
        <v>-8.6555153560361475E-2</v>
      </c>
      <c r="G50" s="41">
        <f t="shared" si="15"/>
        <v>11017801.948352957</v>
      </c>
      <c r="H50" s="36">
        <f t="shared" si="10"/>
        <v>-1002097.1824658732</v>
      </c>
      <c r="I50" s="36">
        <f t="shared" si="11"/>
        <v>10575459.337805733</v>
      </c>
      <c r="J50" s="37">
        <f t="shared" si="14"/>
        <v>6350420.1367777754</v>
      </c>
      <c r="K50" s="22">
        <f t="shared" si="12"/>
        <v>0.66531648458329518</v>
      </c>
      <c r="L50" s="22">
        <f>IFERROR((1+K50)/VLOOKUP(B50,'Исходные данные'!$A$4:$G$24,6,FALSE)-1,"")</f>
        <v>-0.68760538655566794</v>
      </c>
      <c r="M50" s="20">
        <f t="shared" si="13"/>
        <v>2.4583755008832808E-2</v>
      </c>
    </row>
    <row r="53" spans="1:14" ht="30" x14ac:dyDescent="0.25">
      <c r="A53" s="28" t="s">
        <v>50</v>
      </c>
      <c r="B53" s="29" t="s">
        <v>10</v>
      </c>
      <c r="C53" s="28" t="s">
        <v>37</v>
      </c>
      <c r="D53" s="30" t="s">
        <v>53</v>
      </c>
      <c r="E53" s="30" t="s">
        <v>54</v>
      </c>
      <c r="F53" s="30" t="s">
        <v>55</v>
      </c>
      <c r="G53" s="30" t="s">
        <v>56</v>
      </c>
      <c r="H53" s="30" t="s">
        <v>57</v>
      </c>
      <c r="I53" s="30" t="s">
        <v>80</v>
      </c>
      <c r="J53" s="30" t="s">
        <v>79</v>
      </c>
      <c r="K53" s="30" t="s">
        <v>38</v>
      </c>
      <c r="L53" s="30" t="s">
        <v>83</v>
      </c>
      <c r="M53" s="31" t="s">
        <v>59</v>
      </c>
    </row>
    <row r="54" spans="1:14" x14ac:dyDescent="0.25">
      <c r="A54" s="27" t="s">
        <v>6</v>
      </c>
      <c r="B54" s="25">
        <f>'Исходные данные'!$A4</f>
        <v>2004</v>
      </c>
      <c r="C54" s="39">
        <f>IF(AND(Таблица14[[#This Row],[Год]]&gt;=Настройки!$B$4, Таблица14[[#This Row],[Год]]&lt;=Настройки!$B$5),IFERROR(VLOOKUP(Таблица14[[#This Row],[Год]],Данные[#All],9,FALSE),0),0)</f>
        <v>115000</v>
      </c>
      <c r="D54" s="19">
        <f>VLOOKUP($A$54,Настройки!$L$2:$N$13,2,FALSE)</f>
        <v>0</v>
      </c>
      <c r="E54" s="19">
        <f>VLOOKUP($A$54,Настройки!$L$2:$N$13,3,FALSE)</f>
        <v>0</v>
      </c>
      <c r="F54" s="20">
        <f>D54*VLOOKUP(B54,'Исходные данные'!$A$4:$G$24,2,FALSE)+E54*VLOOKUP(B54,'Исходные данные'!$A$4:$G$24,3,FALSE)+(1-D54-E54)*VLOOKUP(B54,'Исходные данные'!$A$4:$G$24,4,FALSE)</f>
        <v>0.10199999999999999</v>
      </c>
      <c r="G54" s="39">
        <f>0</f>
        <v>0</v>
      </c>
      <c r="H54" s="21">
        <f>(G54+C54)*F54</f>
        <v>11730</v>
      </c>
      <c r="I54" s="21">
        <f>G54+C54+H54</f>
        <v>126730</v>
      </c>
      <c r="J54" s="21">
        <f>C54</f>
        <v>115000</v>
      </c>
      <c r="K54" s="22">
        <f>IFERROR((I54-J54)/J54,"")</f>
        <v>0.10199999999999999</v>
      </c>
      <c r="L54" s="22">
        <f>IFERROR((1+K54)/VLOOKUP(B54,'Исходные данные'!$A$4:$G$24,6,FALSE)-1,"")</f>
        <v>-1.3781993914444124E-2</v>
      </c>
      <c r="M54" s="20">
        <f>IFERROR((I54/J54)^(1/(B54-$B$54+1))-1,"")</f>
        <v>0.10200000000000009</v>
      </c>
      <c r="N54" s="24"/>
    </row>
    <row r="55" spans="1:14" x14ac:dyDescent="0.25">
      <c r="A55" s="27" t="s">
        <v>6</v>
      </c>
      <c r="B55" s="25">
        <f>'Исходные данные'!$A5</f>
        <v>2005</v>
      </c>
      <c r="C55" s="39">
        <f>IF(AND(Таблица14[[#This Row],[Год]]&gt;=Настройки!$B$4, Таблица14[[#This Row],[Год]]&lt;=Настройки!$B$5),IFERROR(VLOOKUP(Таблица14[[#This Row],[Год]],Данные[#All],9,FALSE),0),0)</f>
        <v>128501</v>
      </c>
      <c r="D55" s="19">
        <f>VLOOKUP($A$54,Настройки!$L$2:$N$13,2,FALSE)</f>
        <v>0</v>
      </c>
      <c r="E55" s="19">
        <f>VLOOKUP($A$54,Настройки!$L$2:$N$13,3,FALSE)</f>
        <v>0</v>
      </c>
      <c r="F55" s="20">
        <f>D55*VLOOKUP(B55,'Исходные данные'!$A$4:$G$24,2,FALSE)+E55*VLOOKUP(B55,'Исходные данные'!$A$4:$G$24,3,FALSE)+(1-D55-E55)*VLOOKUP(B55,'Исходные данные'!$A$4:$G$24,4,FALSE)</f>
        <v>8.4000000000000005E-2</v>
      </c>
      <c r="G55" s="40">
        <f>I54</f>
        <v>126730</v>
      </c>
      <c r="H55" s="21">
        <f t="shared" ref="H55:H74" si="16">(G55+C55)*F55</f>
        <v>21439.404000000002</v>
      </c>
      <c r="I55" s="21">
        <f t="shared" ref="I55:I74" si="17">G55+C55+H55</f>
        <v>276670.40399999998</v>
      </c>
      <c r="J55" s="23">
        <f>J54+C55</f>
        <v>243501</v>
      </c>
      <c r="K55" s="22">
        <f t="shared" ref="K55:K74" si="18">IFERROR((I55-J55)/J55,"")</f>
        <v>0.13621875885519968</v>
      </c>
      <c r="L55" s="22">
        <f>IFERROR((1+K55)/VLOOKUP(B55,'Исходные данные'!$A$4:$G$24,6,FALSE)-1,"")</f>
        <v>-8.3183157748135783E-2</v>
      </c>
      <c r="M55" s="20">
        <f t="shared" ref="M55:M74" si="19">IFERROR((I55/J55)^(1/(B55-$B$54+1))-1,"")</f>
        <v>6.5935626037144868E-2</v>
      </c>
    </row>
    <row r="56" spans="1:14" x14ac:dyDescent="0.25">
      <c r="A56" s="27" t="s">
        <v>6</v>
      </c>
      <c r="B56" s="25">
        <f>'Исходные данные'!$A6</f>
        <v>2006</v>
      </c>
      <c r="C56" s="39">
        <f>IF(AND(Таблица14[[#This Row],[Год]]&gt;=Настройки!$B$4, Таблица14[[#This Row],[Год]]&lt;=Настройки!$B$5),IFERROR(VLOOKUP(Таблица14[[#This Row],[Год]],Данные[#All],9,FALSE),0),0)</f>
        <v>142520.45910000001</v>
      </c>
      <c r="D56" s="19">
        <f>VLOOKUP($A$54,Настройки!$L$2:$N$13,2,FALSE)</f>
        <v>0</v>
      </c>
      <c r="E56" s="19">
        <f>VLOOKUP($A$54,Настройки!$L$2:$N$13,3,FALSE)</f>
        <v>0</v>
      </c>
      <c r="F56" s="20">
        <f>D56*VLOOKUP(B56,'Исходные данные'!$A$4:$G$24,2,FALSE)+E56*VLOOKUP(B56,'Исходные данные'!$A$4:$G$24,3,FALSE)+(1-D56-E56)*VLOOKUP(B56,'Исходные данные'!$A$4:$G$24,4,FALSE)</f>
        <v>8.8999999999999996E-2</v>
      </c>
      <c r="G56" s="40">
        <f>I55</f>
        <v>276670.40399999998</v>
      </c>
      <c r="H56" s="21">
        <f t="shared" si="16"/>
        <v>37307.986815899996</v>
      </c>
      <c r="I56" s="21">
        <f t="shared" si="17"/>
        <v>456498.84991589998</v>
      </c>
      <c r="J56" s="23">
        <f t="shared" ref="J56:J74" si="20">J55+C56</f>
        <v>386021.45909999998</v>
      </c>
      <c r="K56" s="22">
        <f t="shared" si="18"/>
        <v>0.18257376411201695</v>
      </c>
      <c r="L56" s="22">
        <f>IFERROR((1+K56)/VLOOKUP(B56,'Исходные данные'!$A$4:$G$24,6,FALSE)-1,"")</f>
        <v>-0.12456809673501912</v>
      </c>
      <c r="M56" s="20">
        <f t="shared" si="19"/>
        <v>5.7489539058091177E-2</v>
      </c>
    </row>
    <row r="57" spans="1:14" x14ac:dyDescent="0.25">
      <c r="A57" s="27" t="s">
        <v>6</v>
      </c>
      <c r="B57" s="25">
        <f>'Исходные данные'!$A7</f>
        <v>2007</v>
      </c>
      <c r="C57" s="39">
        <f>IF(AND(Таблица14[[#This Row],[Год]]&gt;=Настройки!$B$4, Таблица14[[#This Row],[Год]]&lt;=Настройки!$B$5),IFERROR(VLOOKUP(Таблица14[[#This Row],[Год]],Данные[#All],9,FALSE),0),0)</f>
        <v>155347.30041900001</v>
      </c>
      <c r="D57" s="19">
        <f>VLOOKUP($A$54,Настройки!$L$2:$N$13,2,FALSE)</f>
        <v>0</v>
      </c>
      <c r="E57" s="19">
        <f>VLOOKUP($A$54,Настройки!$L$2:$N$13,3,FALSE)</f>
        <v>0</v>
      </c>
      <c r="F57" s="20">
        <f>D57*VLOOKUP(B57,'Исходные данные'!$A$4:$G$24,2,FALSE)+E57*VLOOKUP(B57,'Исходные данные'!$A$4:$G$24,3,FALSE)+(1-D57-E57)*VLOOKUP(B57,'Исходные данные'!$A$4:$G$24,4,FALSE)</f>
        <v>0.08</v>
      </c>
      <c r="G57" s="40">
        <f t="shared" ref="G57:G74" si="21">I56</f>
        <v>456498.84991589998</v>
      </c>
      <c r="H57" s="21">
        <f t="shared" si="16"/>
        <v>48947.692026792</v>
      </c>
      <c r="I57" s="21">
        <f t="shared" si="17"/>
        <v>660793.84236169199</v>
      </c>
      <c r="J57" s="23">
        <f t="shared" si="20"/>
        <v>541368.75951899996</v>
      </c>
      <c r="K57" s="22">
        <f t="shared" si="18"/>
        <v>0.22059840126127683</v>
      </c>
      <c r="L57" s="22">
        <f>IFERROR((1+K57)/VLOOKUP(B57,'Исходные данные'!$A$4:$G$24,6,FALSE)-1,"")</f>
        <v>-0.19229403827919578</v>
      </c>
      <c r="M57" s="20">
        <f t="shared" si="19"/>
        <v>5.1097974516826516E-2</v>
      </c>
    </row>
    <row r="58" spans="1:14" x14ac:dyDescent="0.25">
      <c r="A58" s="27" t="s">
        <v>6</v>
      </c>
      <c r="B58" s="25">
        <f>'Исходные данные'!$A8</f>
        <v>2008</v>
      </c>
      <c r="C58" s="39">
        <f>IF(AND(Таблица14[[#This Row],[Год]]&gt;=Настройки!$B$4, Таблица14[[#This Row],[Год]]&lt;=Настройки!$B$5),IFERROR(VLOOKUP(Таблица14[[#This Row],[Год]],Данные[#All],9,FALSE),0),0)</f>
        <v>173787.02497873531</v>
      </c>
      <c r="D58" s="19">
        <f>VLOOKUP($A$54,Настройки!$L$2:$N$13,2,FALSE)</f>
        <v>0</v>
      </c>
      <c r="E58" s="19">
        <f>VLOOKUP($A$54,Настройки!$L$2:$N$13,3,FALSE)</f>
        <v>0</v>
      </c>
      <c r="F58" s="20">
        <f>D58*VLOOKUP(B58,'Исходные данные'!$A$4:$G$24,2,FALSE)+E58*VLOOKUP(B58,'Исходные данные'!$A$4:$G$24,3,FALSE)+(1-D58-E58)*VLOOKUP(B58,'Исходные данные'!$A$4:$G$24,4,FALSE)</f>
        <v>0.112</v>
      </c>
      <c r="G58" s="40">
        <f t="shared" si="21"/>
        <v>660793.84236169199</v>
      </c>
      <c r="H58" s="21">
        <f t="shared" si="16"/>
        <v>93473.057142127873</v>
      </c>
      <c r="I58" s="21">
        <f t="shared" si="17"/>
        <v>928053.92448255525</v>
      </c>
      <c r="J58" s="23">
        <f t="shared" si="20"/>
        <v>715155.78449773532</v>
      </c>
      <c r="K58" s="22">
        <f t="shared" si="18"/>
        <v>0.29769477448097759</v>
      </c>
      <c r="L58" s="22">
        <f>IFERROR((1+K58)/VLOOKUP(B58,'Исходные данные'!$A$4:$G$24,6,FALSE)-1,"")</f>
        <v>-0.24194658746906494</v>
      </c>
      <c r="M58" s="20">
        <f t="shared" si="19"/>
        <v>5.3499930192591805E-2</v>
      </c>
    </row>
    <row r="59" spans="1:14" x14ac:dyDescent="0.25">
      <c r="A59" s="27" t="s">
        <v>6</v>
      </c>
      <c r="B59" s="25">
        <f>'Исходные данные'!$A9</f>
        <v>2009</v>
      </c>
      <c r="C59" s="39">
        <f>IF(AND(Таблица14[[#This Row],[Год]]&gt;=Настройки!$B$4, Таблица14[[#This Row],[Год]]&lt;=Настройки!$B$5),IFERROR(VLOOKUP(Таблица14[[#This Row],[Год]],Данные[#All],9,FALSE),0),0)</f>
        <v>196865.94189591135</v>
      </c>
      <c r="D59" s="19">
        <f>VLOOKUP($A$54,Настройки!$L$2:$N$13,2,FALSE)</f>
        <v>0</v>
      </c>
      <c r="E59" s="19">
        <f>VLOOKUP($A$54,Настройки!$L$2:$N$13,3,FALSE)</f>
        <v>0</v>
      </c>
      <c r="F59" s="20">
        <f>D59*VLOOKUP(B59,'Исходные данные'!$A$4:$G$24,2,FALSE)+E59*VLOOKUP(B59,'Исходные данные'!$A$4:$G$24,3,FALSE)+(1-D59-E59)*VLOOKUP(B59,'Исходные данные'!$A$4:$G$24,4,FALSE)</f>
        <v>0.112</v>
      </c>
      <c r="G59" s="40">
        <f t="shared" si="21"/>
        <v>928053.92448255525</v>
      </c>
      <c r="H59" s="21">
        <f t="shared" si="16"/>
        <v>125991.02503438827</v>
      </c>
      <c r="I59" s="21">
        <f t="shared" si="17"/>
        <v>1250910.8914128549</v>
      </c>
      <c r="J59" s="23">
        <f t="shared" si="20"/>
        <v>912021.72639364668</v>
      </c>
      <c r="K59" s="22">
        <f t="shared" si="18"/>
        <v>0.37158014465209893</v>
      </c>
      <c r="L59" s="22">
        <f>IFERROR((1+K59)/VLOOKUP(B59,'Исходные данные'!$A$4:$G$24,6,FALSE)-1,"")</f>
        <v>-0.26359022356058803</v>
      </c>
      <c r="M59" s="20">
        <f t="shared" si="19"/>
        <v>5.40718087851082E-2</v>
      </c>
    </row>
    <row r="60" spans="1:14" x14ac:dyDescent="0.25">
      <c r="A60" s="27" t="s">
        <v>6</v>
      </c>
      <c r="B60" s="25">
        <f>'Исходные данные'!$A10</f>
        <v>2010</v>
      </c>
      <c r="C60" s="39">
        <f>IF(AND(Таблица14[[#This Row],[Год]]&gt;=Настройки!$B$4, Таблица14[[#This Row],[Год]]&lt;=Настройки!$B$5),IFERROR(VLOOKUP(Таблица14[[#This Row],[Год]],Данные[#All],9,FALSE),0),0)</f>
        <v>214190.14478275157</v>
      </c>
      <c r="D60" s="19">
        <f>VLOOKUP($A$54,Настройки!$L$2:$N$13,2,FALSE)</f>
        <v>0</v>
      </c>
      <c r="E60" s="19">
        <f>VLOOKUP($A$54,Настройки!$L$2:$N$13,3,FALSE)</f>
        <v>0</v>
      </c>
      <c r="F60" s="20">
        <f>D60*VLOOKUP(B60,'Исходные данные'!$A$4:$G$24,2,FALSE)+E60*VLOOKUP(B60,'Исходные данные'!$A$4:$G$24,3,FALSE)+(1-D60-E60)*VLOOKUP(B60,'Исходные данные'!$A$4:$G$24,4,FALSE)</f>
        <v>6.8000000000000005E-2</v>
      </c>
      <c r="G60" s="40">
        <f t="shared" si="21"/>
        <v>1250910.8914128549</v>
      </c>
      <c r="H60" s="21">
        <f t="shared" si="16"/>
        <v>99626.870461301252</v>
      </c>
      <c r="I60" s="21">
        <f t="shared" si="17"/>
        <v>1564727.9066569076</v>
      </c>
      <c r="J60" s="23">
        <f t="shared" si="20"/>
        <v>1126211.8711763984</v>
      </c>
      <c r="K60" s="22">
        <f t="shared" si="18"/>
        <v>0.38937259205272984</v>
      </c>
      <c r="L60" s="22">
        <f>IFERROR((1+K60)/VLOOKUP(B60,'Исходные данные'!$A$4:$G$24,6,FALSE)-1,"")</f>
        <v>-0.31424650636727225</v>
      </c>
      <c r="M60" s="20">
        <f t="shared" si="19"/>
        <v>4.8099889838918664E-2</v>
      </c>
    </row>
    <row r="61" spans="1:14" x14ac:dyDescent="0.25">
      <c r="A61" s="27" t="s">
        <v>6</v>
      </c>
      <c r="B61" s="25">
        <f>'Исходные данные'!$A11</f>
        <v>2011</v>
      </c>
      <c r="C61" s="39">
        <f>IF(AND(Таблица14[[#This Row],[Год]]&gt;=Настройки!$B$4, Таблица14[[#This Row],[Год]]&lt;=Настройки!$B$5),IFERROR(VLOOKUP(Таблица14[[#This Row],[Год]],Данные[#All],9,FALSE),0),0)</f>
        <v>232996.03949467718</v>
      </c>
      <c r="D61" s="19">
        <f>VLOOKUP($A$54,Настройки!$L$2:$N$13,2,FALSE)</f>
        <v>0</v>
      </c>
      <c r="E61" s="19">
        <f>VLOOKUP($A$54,Настройки!$L$2:$N$13,3,FALSE)</f>
        <v>0</v>
      </c>
      <c r="F61" s="20">
        <f>D61*VLOOKUP(B61,'Исходные данные'!$A$4:$G$24,2,FALSE)+E61*VLOOKUP(B61,'Исходные данные'!$A$4:$G$24,3,FALSE)+(1-D61-E61)*VLOOKUP(B61,'Исходные данные'!$A$4:$G$24,4,FALSE)</f>
        <v>7.8E-2</v>
      </c>
      <c r="G61" s="40">
        <f t="shared" si="21"/>
        <v>1564727.9066569076</v>
      </c>
      <c r="H61" s="21">
        <f t="shared" si="16"/>
        <v>140222.46779982361</v>
      </c>
      <c r="I61" s="21">
        <f t="shared" si="17"/>
        <v>1937946.4139514086</v>
      </c>
      <c r="J61" s="23">
        <f t="shared" si="20"/>
        <v>1359207.9106710756</v>
      </c>
      <c r="K61" s="22">
        <f t="shared" si="18"/>
        <v>0.42579100572964962</v>
      </c>
      <c r="L61" s="22">
        <f>IFERROR((1+K61)/VLOOKUP(B61,'Исходные данные'!$A$4:$G$24,6,FALSE)-1,"")</f>
        <v>-0.3367308645597582</v>
      </c>
      <c r="M61" s="20">
        <f t="shared" si="19"/>
        <v>4.5338591490024172E-2</v>
      </c>
    </row>
    <row r="62" spans="1:14" x14ac:dyDescent="0.25">
      <c r="A62" s="27" t="s">
        <v>6</v>
      </c>
      <c r="B62" s="25">
        <f>'Исходные данные'!$A12</f>
        <v>2012</v>
      </c>
      <c r="C62" s="39">
        <f>IF(AND(Таблица14[[#This Row],[Год]]&gt;=Настройки!$B$4, Таблица14[[#This Row],[Год]]&lt;=Настройки!$B$5),IFERROR(VLOOKUP(Таблица14[[#This Row],[Год]],Данные[#All],9,FALSE),0),0)</f>
        <v>247208.79790385248</v>
      </c>
      <c r="D62" s="19">
        <f>VLOOKUP($A$54,Настройки!$L$2:$N$13,2,FALSE)</f>
        <v>0</v>
      </c>
      <c r="E62" s="19">
        <f>VLOOKUP($A$54,Настройки!$L$2:$N$13,3,FALSE)</f>
        <v>0</v>
      </c>
      <c r="F62" s="20">
        <f>D62*VLOOKUP(B62,'Исходные данные'!$A$4:$G$24,2,FALSE)+E62*VLOOKUP(B62,'Исходные данные'!$A$4:$G$24,3,FALSE)+(1-D62-E62)*VLOOKUP(B62,'Исходные данные'!$A$4:$G$24,4,FALSE)</f>
        <v>8.4000000000000005E-2</v>
      </c>
      <c r="G62" s="40">
        <f t="shared" si="21"/>
        <v>1937946.4139514086</v>
      </c>
      <c r="H62" s="21">
        <f t="shared" si="16"/>
        <v>183553.03779584196</v>
      </c>
      <c r="I62" s="21">
        <f t="shared" si="17"/>
        <v>2368708.2496511033</v>
      </c>
      <c r="J62" s="23">
        <f t="shared" si="20"/>
        <v>1606416.7085749281</v>
      </c>
      <c r="K62" s="22">
        <f t="shared" si="18"/>
        <v>0.47452914116687278</v>
      </c>
      <c r="L62" s="22">
        <f>IFERROR((1+K62)/VLOOKUP(B62,'Исходные данные'!$A$4:$G$24,6,FALSE)-1,"")</f>
        <v>-0.35640662990111616</v>
      </c>
      <c r="M62" s="20">
        <f t="shared" si="19"/>
        <v>4.4093187812112244E-2</v>
      </c>
    </row>
    <row r="63" spans="1:14" x14ac:dyDescent="0.25">
      <c r="A63" s="27" t="s">
        <v>6</v>
      </c>
      <c r="B63" s="25">
        <f>'Исходные данные'!$A13</f>
        <v>2013</v>
      </c>
      <c r="C63" s="39">
        <f>IF(AND(Таблица14[[#This Row],[Год]]&gt;=Настройки!$B$4, Таблица14[[#This Row],[Год]]&lt;=Настройки!$B$5),IFERROR(VLOOKUP(Таблица14[[#This Row],[Год]],Данные[#All],9,FALSE),0),0)</f>
        <v>263475.13680592598</v>
      </c>
      <c r="D63" s="19">
        <f>VLOOKUP($A$54,Настройки!$L$2:$N$13,2,FALSE)</f>
        <v>0</v>
      </c>
      <c r="E63" s="19">
        <f>VLOOKUP($A$54,Настройки!$L$2:$N$13,3,FALSE)</f>
        <v>0</v>
      </c>
      <c r="F63" s="20">
        <f>D63*VLOOKUP(B63,'Исходные данные'!$A$4:$G$24,2,FALSE)+E63*VLOOKUP(B63,'Исходные данные'!$A$4:$G$24,3,FALSE)+(1-D63-E63)*VLOOKUP(B63,'Исходные данные'!$A$4:$G$24,4,FALSE)</f>
        <v>7.3999999999999996E-2</v>
      </c>
      <c r="G63" s="40">
        <f t="shared" si="21"/>
        <v>2368708.2496511033</v>
      </c>
      <c r="H63" s="21">
        <f t="shared" si="16"/>
        <v>194781.57059782016</v>
      </c>
      <c r="I63" s="21">
        <f t="shared" si="17"/>
        <v>2826964.9570548492</v>
      </c>
      <c r="J63" s="23">
        <f t="shared" si="20"/>
        <v>1869891.8453808541</v>
      </c>
      <c r="K63" s="22">
        <f t="shared" si="18"/>
        <v>0.51183340578666536</v>
      </c>
      <c r="L63" s="22">
        <f>IFERROR((1+K63)/VLOOKUP(B63,'Исходные данные'!$A$4:$G$24,6,FALSE)-1,"")</f>
        <v>-0.38010736960119318</v>
      </c>
      <c r="M63" s="20">
        <f t="shared" si="19"/>
        <v>4.219837994295661E-2</v>
      </c>
    </row>
    <row r="64" spans="1:14" x14ac:dyDescent="0.25">
      <c r="A64" s="27" t="s">
        <v>6</v>
      </c>
      <c r="B64" s="25">
        <f>'Исходные данные'!$A14</f>
        <v>2014</v>
      </c>
      <c r="C64" s="39">
        <f>IF(AND(Таблица14[[#This Row],[Год]]&gt;=Настройки!$B$4, Таблица14[[#This Row],[Год]]&lt;=Настройки!$B$5),IFERROR(VLOOKUP(Таблица14[[#This Row],[Год]],Данные[#All],9,FALSE),0),0)</f>
        <v>280469.2831299082</v>
      </c>
      <c r="D64" s="19">
        <f>VLOOKUP($A$54,Настройки!$L$2:$N$13,2,FALSE)</f>
        <v>0</v>
      </c>
      <c r="E64" s="19">
        <f>VLOOKUP($A$54,Настройки!$L$2:$N$13,3,FALSE)</f>
        <v>0</v>
      </c>
      <c r="F64" s="20">
        <f>D64*VLOOKUP(B64,'Исходные данные'!$A$4:$G$24,2,FALSE)+E64*VLOOKUP(B64,'Исходные данные'!$A$4:$G$24,3,FALSE)+(1-D64-E64)*VLOOKUP(B64,'Исходные данные'!$A$4:$G$24,4,FALSE)</f>
        <v>8.1000000000000003E-2</v>
      </c>
      <c r="G64" s="40">
        <f t="shared" si="21"/>
        <v>2826964.9570548492</v>
      </c>
      <c r="H64" s="21">
        <f t="shared" si="16"/>
        <v>251702.17345496535</v>
      </c>
      <c r="I64" s="21">
        <f t="shared" si="17"/>
        <v>3359136.4136397229</v>
      </c>
      <c r="J64" s="23">
        <f t="shared" si="20"/>
        <v>2150361.1285107625</v>
      </c>
      <c r="K64" s="22">
        <f t="shared" si="18"/>
        <v>0.56212664426560788</v>
      </c>
      <c r="L64" s="22">
        <f>IFERROR((1+K64)/VLOOKUP(B64,'Исходные данные'!$A$4:$G$24,6,FALSE)-1,"")</f>
        <v>-0.42482559276003695</v>
      </c>
      <c r="M64" s="20">
        <f t="shared" si="19"/>
        <v>4.1383200194268221E-2</v>
      </c>
    </row>
    <row r="65" spans="1:14" x14ac:dyDescent="0.25">
      <c r="A65" s="27" t="s">
        <v>6</v>
      </c>
      <c r="B65" s="25">
        <f>'Исходные данные'!$A15</f>
        <v>2015</v>
      </c>
      <c r="C65" s="39">
        <f>IF(AND(Таблица14[[#This Row],[Год]]&gt;=Настройки!$B$4, Таблица14[[#This Row],[Год]]&lt;=Настройки!$B$5),IFERROR(VLOOKUP(Таблица14[[#This Row],[Год]],Данные[#All],9,FALSE),0),0)</f>
        <v>312330.59369346575</v>
      </c>
      <c r="D65" s="19">
        <f>VLOOKUP($A$54,Настройки!$L$2:$N$13,2,FALSE)</f>
        <v>0</v>
      </c>
      <c r="E65" s="19">
        <f>VLOOKUP($A$54,Настройки!$L$2:$N$13,3,FALSE)</f>
        <v>0</v>
      </c>
      <c r="F65" s="20">
        <f>D65*VLOOKUP(B65,'Исходные данные'!$A$4:$G$24,2,FALSE)+E65*VLOOKUP(B65,'Исходные данные'!$A$4:$G$24,3,FALSE)+(1-D65-E65)*VLOOKUP(B65,'Исходные данные'!$A$4:$G$24,4,FALSE)</f>
        <v>0.10100000000000001</v>
      </c>
      <c r="G65" s="40">
        <f t="shared" si="21"/>
        <v>3359136.4136397229</v>
      </c>
      <c r="H65" s="21">
        <f t="shared" si="16"/>
        <v>370818.1677406521</v>
      </c>
      <c r="I65" s="21">
        <f t="shared" si="17"/>
        <v>4042285.1750738407</v>
      </c>
      <c r="J65" s="23">
        <f t="shared" si="20"/>
        <v>2462691.7222042284</v>
      </c>
      <c r="K65" s="22">
        <f t="shared" si="18"/>
        <v>0.64140933216594387</v>
      </c>
      <c r="L65" s="22">
        <f>IFERROR((1+K65)/VLOOKUP(B65,'Исходные данные'!$A$4:$G$24,6,FALSE)-1,"")</f>
        <v>-0.46473628438875925</v>
      </c>
      <c r="M65" s="20">
        <f t="shared" si="19"/>
        <v>4.2160819207808675E-2</v>
      </c>
    </row>
    <row r="66" spans="1:14" x14ac:dyDescent="0.25">
      <c r="A66" s="27" t="s">
        <v>6</v>
      </c>
      <c r="B66" s="25">
        <f>'Исходные данные'!$A16</f>
        <v>2016</v>
      </c>
      <c r="C66" s="39">
        <f>IF(AND(Таблица14[[#This Row],[Год]]&gt;=Настройки!$B$4, Таблица14[[#This Row],[Год]]&lt;=Настройки!$B$5),IFERROR(VLOOKUP(Таблица14[[#This Row],[Год]],Данные[#All],9,FALSE),0),0)</f>
        <v>352652.47333929216</v>
      </c>
      <c r="D66" s="19">
        <f>VLOOKUP($A$54,Настройки!$L$2:$N$13,2,FALSE)</f>
        <v>0</v>
      </c>
      <c r="E66" s="19">
        <f>VLOOKUP($A$54,Настройки!$L$2:$N$13,3,FALSE)</f>
        <v>0</v>
      </c>
      <c r="F66" s="20">
        <f>D66*VLOOKUP(B66,'Исходные данные'!$A$4:$G$24,2,FALSE)+E66*VLOOKUP(B66,'Исходные данные'!$A$4:$G$24,3,FALSE)+(1-D66-E66)*VLOOKUP(B66,'Исходные данные'!$A$4:$G$24,4,FALSE)</f>
        <v>8.4000000000000005E-2</v>
      </c>
      <c r="G66" s="40">
        <f t="shared" si="21"/>
        <v>4042285.1750738407</v>
      </c>
      <c r="H66" s="21">
        <f t="shared" si="16"/>
        <v>369174.76246670319</v>
      </c>
      <c r="I66" s="21">
        <f t="shared" si="17"/>
        <v>4764112.4108798364</v>
      </c>
      <c r="J66" s="23">
        <f t="shared" si="20"/>
        <v>2815344.1955435206</v>
      </c>
      <c r="K66" s="22">
        <f t="shared" si="18"/>
        <v>0.69219536936942561</v>
      </c>
      <c r="L66" s="22">
        <f>IFERROR((1+K66)/VLOOKUP(B66,'Исходные данные'!$A$4:$G$24,6,FALSE)-1,"")</f>
        <v>-0.47634746020158525</v>
      </c>
      <c r="M66" s="20">
        <f t="shared" si="19"/>
        <v>4.1293399608736348E-2</v>
      </c>
    </row>
    <row r="67" spans="1:14" x14ac:dyDescent="0.25">
      <c r="A67" s="27" t="s">
        <v>6</v>
      </c>
      <c r="B67" s="25">
        <f>'Исходные данные'!$A17</f>
        <v>2017</v>
      </c>
      <c r="C67" s="39">
        <f>IF(AND(Таблица14[[#This Row],[Год]]&gt;=Настройки!$B$4, Таблица14[[#This Row],[Год]]&lt;=Настройки!$B$5),IFERROR(VLOOKUP(Таблица14[[#This Row],[Год]],Данные[#All],9,FALSE),0),0)</f>
        <v>371625.17640494613</v>
      </c>
      <c r="D67" s="19">
        <f>VLOOKUP($A$54,Настройки!$L$2:$N$13,2,FALSE)</f>
        <v>0</v>
      </c>
      <c r="E67" s="19">
        <f>VLOOKUP($A$54,Настройки!$L$2:$N$13,3,FALSE)</f>
        <v>0</v>
      </c>
      <c r="F67" s="20">
        <f>D67*VLOOKUP(B67,'Исходные данные'!$A$4:$G$24,2,FALSE)+E67*VLOOKUP(B67,'Исходные данные'!$A$4:$G$24,3,FALSE)+(1-D67-E67)*VLOOKUP(B67,'Исходные данные'!$A$4:$G$24,4,FALSE)</f>
        <v>6.9000000000000006E-2</v>
      </c>
      <c r="G67" s="40">
        <f t="shared" si="21"/>
        <v>4764112.4108798364</v>
      </c>
      <c r="H67" s="21">
        <f t="shared" si="16"/>
        <v>354365.89352265006</v>
      </c>
      <c r="I67" s="21">
        <f t="shared" si="17"/>
        <v>5490103.4808074329</v>
      </c>
      <c r="J67" s="23">
        <f t="shared" si="20"/>
        <v>3186969.3719484666</v>
      </c>
      <c r="K67" s="22">
        <f t="shared" si="18"/>
        <v>0.72267218164411273</v>
      </c>
      <c r="L67" s="22">
        <f>IFERROR((1+K67)/VLOOKUP(B67,'Исходные данные'!$A$4:$G$24,6,FALSE)-1,"")</f>
        <v>-0.48001986180873646</v>
      </c>
      <c r="M67" s="20">
        <f t="shared" si="19"/>
        <v>3.9612798017625739E-2</v>
      </c>
    </row>
    <row r="68" spans="1:14" x14ac:dyDescent="0.25">
      <c r="A68" s="27" t="s">
        <v>6</v>
      </c>
      <c r="B68" s="25">
        <f>'Исходные данные'!$A18</f>
        <v>2018</v>
      </c>
      <c r="C68" s="39">
        <f>IF(AND(Таблица14[[#This Row],[Год]]&gt;=Настройки!$B$4, Таблица14[[#This Row],[Год]]&lt;=Настройки!$B$5),IFERROR(VLOOKUP(Таблица14[[#This Row],[Год]],Данные[#All],9,FALSE),0),0)</f>
        <v>380990.13085035072</v>
      </c>
      <c r="D68" s="19">
        <f>VLOOKUP($A$54,Настройки!$L$2:$N$13,2,FALSE)</f>
        <v>0</v>
      </c>
      <c r="E68" s="19">
        <f>VLOOKUP($A$54,Настройки!$L$2:$N$13,3,FALSE)</f>
        <v>0</v>
      </c>
      <c r="F68" s="20">
        <f>D68*VLOOKUP(B68,'Исходные данные'!$A$4:$G$24,2,FALSE)+E68*VLOOKUP(B68,'Исходные данные'!$A$4:$G$24,3,FALSE)+(1-D68-E68)*VLOOKUP(B68,'Исходные данные'!$A$4:$G$24,4,FALSE)</f>
        <v>6.2E-2</v>
      </c>
      <c r="G68" s="40">
        <f t="shared" si="21"/>
        <v>5490103.4808074329</v>
      </c>
      <c r="H68" s="21">
        <f t="shared" si="16"/>
        <v>364007.80392278259</v>
      </c>
      <c r="I68" s="21">
        <f t="shared" si="17"/>
        <v>6235101.415580566</v>
      </c>
      <c r="J68" s="23">
        <f t="shared" si="20"/>
        <v>3567959.5027988171</v>
      </c>
      <c r="K68" s="22">
        <f t="shared" si="18"/>
        <v>0.74752583673933537</v>
      </c>
      <c r="L68" s="22">
        <f>IFERROR((1+K68)/VLOOKUP(B68,'Исходные данные'!$A$4:$G$24,6,FALSE)-1,"")</f>
        <v>-0.49411902567525179</v>
      </c>
      <c r="M68" s="20">
        <f t="shared" si="19"/>
        <v>3.7914486773877432E-2</v>
      </c>
    </row>
    <row r="69" spans="1:14" x14ac:dyDescent="0.25">
      <c r="A69" s="27" t="s">
        <v>6</v>
      </c>
      <c r="B69" s="25">
        <f>'Исходные данные'!$A19</f>
        <v>2019</v>
      </c>
      <c r="C69" s="39">
        <f>IF(AND(Таблица14[[#This Row],[Год]]&gt;=Настройки!$B$4, Таблица14[[#This Row],[Год]]&lt;=Настройки!$B$5),IFERROR(VLOOKUP(Таблица14[[#This Row],[Год]],Данные[#All],9,FALSE),0),0)</f>
        <v>397258.40943766065</v>
      </c>
      <c r="D69" s="19">
        <f>VLOOKUP($A$54,Настройки!$L$2:$N$13,2,FALSE)</f>
        <v>0</v>
      </c>
      <c r="E69" s="19">
        <f>VLOOKUP($A$54,Настройки!$L$2:$N$13,3,FALSE)</f>
        <v>0</v>
      </c>
      <c r="F69" s="20">
        <f>D69*VLOOKUP(B69,'Исходные данные'!$A$4:$G$24,2,FALSE)+E69*VLOOKUP(B69,'Исходные данные'!$A$4:$G$24,3,FALSE)+(1-D69-E69)*VLOOKUP(B69,'Исходные данные'!$A$4:$G$24,4,FALSE)</f>
        <v>6.6000000000000003E-2</v>
      </c>
      <c r="G69" s="40">
        <f t="shared" si="21"/>
        <v>6235101.415580566</v>
      </c>
      <c r="H69" s="21">
        <f t="shared" si="16"/>
        <v>437735.74845120299</v>
      </c>
      <c r="I69" s="21">
        <f t="shared" si="17"/>
        <v>7070095.5734694302</v>
      </c>
      <c r="J69" s="23">
        <f t="shared" si="20"/>
        <v>3965217.9122364777</v>
      </c>
      <c r="K69" s="22">
        <f t="shared" si="18"/>
        <v>0.78302825467711235</v>
      </c>
      <c r="L69" s="22">
        <f>IFERROR((1+K69)/VLOOKUP(B69,'Исходные данные'!$A$4:$G$24,6,FALSE)-1,"")</f>
        <v>-0.49911852455717309</v>
      </c>
      <c r="M69" s="20">
        <f t="shared" si="19"/>
        <v>3.6805730902414568E-2</v>
      </c>
    </row>
    <row r="70" spans="1:14" x14ac:dyDescent="0.25">
      <c r="A70" s="27" t="s">
        <v>6</v>
      </c>
      <c r="B70" s="25">
        <f>'Исходные данные'!$A20</f>
        <v>2020</v>
      </c>
      <c r="C70" s="39">
        <f>IF(AND(Таблица14[[#This Row],[Год]]&gt;=Настройки!$B$4, Таблица14[[#This Row],[Год]]&lt;=Настройки!$B$5),IFERROR(VLOOKUP(Таблица14[[#This Row],[Год]],Данные[#All],9,FALSE),0),0)</f>
        <v>409374.7909255093</v>
      </c>
      <c r="D70" s="19">
        <f>VLOOKUP($A$54,Настройки!$L$2:$N$13,2,FALSE)</f>
        <v>0</v>
      </c>
      <c r="E70" s="19">
        <f>VLOOKUP($A$54,Настройки!$L$2:$N$13,3,FALSE)</f>
        <v>0</v>
      </c>
      <c r="F70" s="20">
        <f>D70*VLOOKUP(B70,'Исходные данные'!$A$4:$G$24,2,FALSE)+E70*VLOOKUP(B70,'Исходные данные'!$A$4:$G$24,3,FALSE)+(1-D70-E70)*VLOOKUP(B70,'Исходные данные'!$A$4:$G$24,4,FALSE)</f>
        <v>4.5999999999999999E-2</v>
      </c>
      <c r="G70" s="40">
        <f t="shared" si="21"/>
        <v>7070095.5734694302</v>
      </c>
      <c r="H70" s="21">
        <f t="shared" si="16"/>
        <v>344055.63676216721</v>
      </c>
      <c r="I70" s="21">
        <f t="shared" si="17"/>
        <v>7823526.0011571068</v>
      </c>
      <c r="J70" s="23">
        <f t="shared" si="20"/>
        <v>4374592.7031619865</v>
      </c>
      <c r="K70" s="22">
        <f t="shared" si="18"/>
        <v>0.78840100828180115</v>
      </c>
      <c r="L70" s="22">
        <f>IFERROR((1+K70)/VLOOKUP(B70,'Исходные данные'!$A$4:$G$24,6,FALSE)-1,"")</f>
        <v>-0.52112213437297106</v>
      </c>
      <c r="M70" s="20">
        <f t="shared" si="19"/>
        <v>3.4786792174774428E-2</v>
      </c>
    </row>
    <row r="71" spans="1:14" x14ac:dyDescent="0.25">
      <c r="A71" s="27" t="s">
        <v>6</v>
      </c>
      <c r="B71" s="25">
        <f>'Исходные данные'!$A21</f>
        <v>2021</v>
      </c>
      <c r="C71" s="39">
        <f>IF(AND(Таблица14[[#This Row],[Год]]&gt;=Настройки!$B$4, Таблица14[[#This Row],[Год]]&lt;=Настройки!$B$5),IFERROR(VLOOKUP(Таблица14[[#This Row],[Год]],Данные[#All],9,FALSE),0),0)</f>
        <v>429475.09315995179</v>
      </c>
      <c r="D71" s="19">
        <f>VLOOKUP($A$54,Настройки!$L$2:$N$13,2,FALSE)</f>
        <v>0</v>
      </c>
      <c r="E71" s="19">
        <f>VLOOKUP($A$54,Настройки!$L$2:$N$13,3,FALSE)</f>
        <v>0</v>
      </c>
      <c r="F71" s="20">
        <f>D71*VLOOKUP(B71,'Исходные данные'!$A$4:$G$24,2,FALSE)+E71*VLOOKUP(B71,'Исходные данные'!$A$4:$G$24,3,FALSE)+(1-D71-E71)*VLOOKUP(B71,'Исходные данные'!$A$4:$G$24,4,FALSE)</f>
        <v>5.2999999999999999E-2</v>
      </c>
      <c r="G71" s="40">
        <f t="shared" si="21"/>
        <v>7823526.0011571068</v>
      </c>
      <c r="H71" s="21">
        <f t="shared" si="16"/>
        <v>437409.05799880414</v>
      </c>
      <c r="I71" s="21">
        <f t="shared" si="17"/>
        <v>8690410.1523158625</v>
      </c>
      <c r="J71" s="23">
        <f t="shared" si="20"/>
        <v>4804067.7963219387</v>
      </c>
      <c r="K71" s="22">
        <f t="shared" si="18"/>
        <v>0.8089690905214455</v>
      </c>
      <c r="L71" s="22">
        <f>IFERROR((1+K71)/VLOOKUP(B71,'Исходные данные'!$A$4:$G$24,6,FALSE)-1,"")</f>
        <v>-0.55310881550482238</v>
      </c>
      <c r="M71" s="20">
        <f t="shared" si="19"/>
        <v>3.3479176175389425E-2</v>
      </c>
    </row>
    <row r="72" spans="1:14" x14ac:dyDescent="0.25">
      <c r="A72" s="27" t="s">
        <v>6</v>
      </c>
      <c r="B72" s="25">
        <f>'Исходные данные'!$A22</f>
        <v>2022</v>
      </c>
      <c r="C72" s="39">
        <f>IF(AND(Таблица14[[#This Row],[Год]]&gt;=Настройки!$B$4, Таблица14[[#This Row],[Год]]&lt;=Настройки!$B$5),IFERROR(VLOOKUP(Таблица14[[#This Row],[Год]],Данные[#All],9,FALSE),0),0)</f>
        <v>465508.0534760718</v>
      </c>
      <c r="D72" s="19">
        <f>VLOOKUP($A$54,Настройки!$L$2:$N$13,2,FALSE)</f>
        <v>0</v>
      </c>
      <c r="E72" s="19">
        <f>VLOOKUP($A$54,Настройки!$L$2:$N$13,3,FALSE)</f>
        <v>0</v>
      </c>
      <c r="F72" s="20">
        <f>D72*VLOOKUP(B72,'Исходные данные'!$A$4:$G$24,2,FALSE)+E72*VLOOKUP(B72,'Исходные данные'!$A$4:$G$24,3,FALSE)+(1-D72-E72)*VLOOKUP(B72,'Исходные данные'!$A$4:$G$24,4,FALSE)</f>
        <v>9.6000000000000002E-2</v>
      </c>
      <c r="G72" s="40">
        <f t="shared" si="21"/>
        <v>8690410.1523158625</v>
      </c>
      <c r="H72" s="21">
        <f t="shared" si="16"/>
        <v>878968.14775602566</v>
      </c>
      <c r="I72" s="21">
        <f t="shared" si="17"/>
        <v>10034886.353547959</v>
      </c>
      <c r="J72" s="23">
        <f t="shared" si="20"/>
        <v>5269575.8497980107</v>
      </c>
      <c r="K72" s="22">
        <f t="shared" si="18"/>
        <v>0.9043062742768202</v>
      </c>
      <c r="L72" s="22">
        <f>IFERROR((1+K72)/VLOOKUP(B72,'Исходные данные'!$A$4:$G$24,6,FALSE)-1,"")</f>
        <v>-0.57973605079472734</v>
      </c>
      <c r="M72" s="20">
        <f t="shared" si="19"/>
        <v>3.4482121593675918E-2</v>
      </c>
    </row>
    <row r="73" spans="1:14" x14ac:dyDescent="0.25">
      <c r="A73" s="27" t="s">
        <v>6</v>
      </c>
      <c r="B73" s="25">
        <f>'Исходные данные'!$A23</f>
        <v>2023</v>
      </c>
      <c r="C73" s="39">
        <f>IF(AND(Таблица14[[#This Row],[Год]]&gt;=Настройки!$B$4, Таблица14[[#This Row],[Год]]&lt;=Настройки!$B$5),IFERROR(VLOOKUP(Таблица14[[#This Row],[Год]],Данные[#All],9,FALSE),0),0)</f>
        <v>521089.71506111475</v>
      </c>
      <c r="D73" s="19">
        <f>VLOOKUP($A$54,Настройки!$L$2:$N$13,2,FALSE)</f>
        <v>0</v>
      </c>
      <c r="E73" s="19">
        <f>VLOOKUP($A$54,Настройки!$L$2:$N$13,3,FALSE)</f>
        <v>0</v>
      </c>
      <c r="F73" s="20">
        <f>D73*VLOOKUP(B73,'Исходные данные'!$A$4:$G$24,2,FALSE)+E73*VLOOKUP(B73,'Исходные данные'!$A$4:$G$24,3,FALSE)+(1-D73-E73)*VLOOKUP(B73,'Исходные данные'!$A$4:$G$24,4,FALSE)</f>
        <v>8.5999999999999993E-2</v>
      </c>
      <c r="G73" s="40">
        <f t="shared" si="21"/>
        <v>10034886.353547959</v>
      </c>
      <c r="H73" s="21">
        <f t="shared" si="16"/>
        <v>907813.94190038031</v>
      </c>
      <c r="I73" s="21">
        <f t="shared" si="17"/>
        <v>11463790.010509454</v>
      </c>
      <c r="J73" s="23">
        <f t="shared" si="20"/>
        <v>5790665.5648591258</v>
      </c>
      <c r="K73" s="22">
        <f t="shared" si="18"/>
        <v>0.97970162187882159</v>
      </c>
      <c r="L73" s="22">
        <f>IFERROR((1+K73)/VLOOKUP(B73,'Исходные данные'!$A$4:$G$24,6,FALSE)-1,"")</f>
        <v>-0.59327587850563956</v>
      </c>
      <c r="M73" s="20">
        <f t="shared" si="19"/>
        <v>3.4737019370095767E-2</v>
      </c>
    </row>
    <row r="74" spans="1:14" x14ac:dyDescent="0.25">
      <c r="A74" s="32" t="s">
        <v>6</v>
      </c>
      <c r="B74" s="33">
        <f>'Исходные данные'!$A24</f>
        <v>2024</v>
      </c>
      <c r="C74" s="39">
        <f>IF(AND(Таблица14[[#This Row],[Год]]&gt;=Настройки!$B$4, Таблица14[[#This Row],[Год]]&lt;=Настройки!$B$5),IFERROR(VLOOKUP(Таблица14[[#This Row],[Год]],Данные[#All],9,FALSE),0),0)</f>
        <v>559754.57191864948</v>
      </c>
      <c r="D74" s="34">
        <f>VLOOKUP($A$54,Настройки!$L$2:$N$13,2,FALSE)</f>
        <v>0</v>
      </c>
      <c r="E74" s="34">
        <f>VLOOKUP($A$54,Настройки!$L$2:$N$13,3,FALSE)</f>
        <v>0</v>
      </c>
      <c r="F74" s="35">
        <f>D74*VLOOKUP(B74,'Исходные данные'!$A$4:$G$24,2,FALSE)+E74*VLOOKUP(B74,'Исходные данные'!$A$4:$G$24,3,FALSE)+(1-D74-E74)*VLOOKUP(B74,'Исходные данные'!$A$4:$G$24,4,FALSE)</f>
        <v>0.153</v>
      </c>
      <c r="G74" s="41">
        <f t="shared" si="21"/>
        <v>11463790.010509454</v>
      </c>
      <c r="H74" s="36">
        <f t="shared" si="16"/>
        <v>1839602.3211114998</v>
      </c>
      <c r="I74" s="36">
        <f t="shared" si="17"/>
        <v>13863146.903539604</v>
      </c>
      <c r="J74" s="37">
        <f t="shared" si="20"/>
        <v>6350420.1367777754</v>
      </c>
      <c r="K74" s="22">
        <f t="shared" si="18"/>
        <v>1.1830283044192114</v>
      </c>
      <c r="L74" s="22">
        <f>IFERROR((1+K74)/VLOOKUP(B74,'Исходные данные'!$A$4:$G$24,6,FALSE)-1,"")</f>
        <v>-0.59048848095218343</v>
      </c>
      <c r="M74" s="20">
        <f t="shared" si="19"/>
        <v>3.7876513208925155E-2</v>
      </c>
    </row>
    <row r="77" spans="1:14" ht="30" x14ac:dyDescent="0.25">
      <c r="A77" s="28" t="s">
        <v>50</v>
      </c>
      <c r="B77" s="29" t="s">
        <v>10</v>
      </c>
      <c r="C77" s="28" t="s">
        <v>37</v>
      </c>
      <c r="D77" s="30" t="s">
        <v>53</v>
      </c>
      <c r="E77" s="30" t="s">
        <v>54</v>
      </c>
      <c r="F77" s="30" t="s">
        <v>55</v>
      </c>
      <c r="G77" s="30" t="s">
        <v>56</v>
      </c>
      <c r="H77" s="30" t="s">
        <v>57</v>
      </c>
      <c r="I77" s="30" t="s">
        <v>80</v>
      </c>
      <c r="J77" s="30" t="s">
        <v>79</v>
      </c>
      <c r="K77" s="30" t="s">
        <v>38</v>
      </c>
      <c r="L77" s="30" t="s">
        <v>83</v>
      </c>
      <c r="M77" s="31" t="s">
        <v>59</v>
      </c>
    </row>
    <row r="78" spans="1:14" x14ac:dyDescent="0.25">
      <c r="A78" s="27" t="s">
        <v>41</v>
      </c>
      <c r="B78" s="25">
        <f>'Исходные данные'!$A4</f>
        <v>2004</v>
      </c>
      <c r="C78" s="39">
        <f>IF(AND(Таблица13[[#This Row],[Год]]&gt;=Настройки!$B$4, Таблица13[[#This Row],[Год]]&lt;=Настройки!$B$5),IFERROR(VLOOKUP(Таблица13[[#This Row],[Год]],Данные[#All],9,FALSE),0),0)</f>
        <v>115000</v>
      </c>
      <c r="D78" s="19">
        <f>VLOOKUP($A$78,Настройки!$L$2:$N$13,2,FALSE)</f>
        <v>0.5</v>
      </c>
      <c r="E78" s="19">
        <f>VLOOKUP($A$78,Настройки!$L$2:$N$13,3,FALSE)</f>
        <v>0.5</v>
      </c>
      <c r="F78" s="20">
        <f>D78*VLOOKUP(B78,'Исходные данные'!$A$4:$G$24,2,FALSE)+E78*VLOOKUP(B78,'Исходные данные'!$A$4:$G$24,3,FALSE)+(1-D78-E78)*VLOOKUP(B78,'Исходные данные'!$A$4:$G$24,4,FALSE)</f>
        <v>9.0888788855286173E-2</v>
      </c>
      <c r="G78" s="39">
        <f>0</f>
        <v>0</v>
      </c>
      <c r="H78" s="21">
        <f>(G78+C78)*F78</f>
        <v>10452.21071835791</v>
      </c>
      <c r="I78" s="21">
        <f>G78+C78+H78</f>
        <v>125452.21071835791</v>
      </c>
      <c r="J78" s="21">
        <f>C78</f>
        <v>115000</v>
      </c>
      <c r="K78" s="22">
        <f>IFERROR((I78-J78)/J78,"")</f>
        <v>9.0888788855286146E-2</v>
      </c>
      <c r="L78" s="22">
        <f>IFERROR((1+K78)/VLOOKUP(B78,'Исходные данные'!$A$4:$G$24,6,FALSE)-1,"")</f>
        <v>-2.3725801990973627E-2</v>
      </c>
      <c r="M78" s="20">
        <f>IFERROR((I78/J78)^(1/(B78-$B$78+1))-1,"")</f>
        <v>9.0888788855286062E-2</v>
      </c>
    </row>
    <row r="79" spans="1:14" x14ac:dyDescent="0.25">
      <c r="A79" s="27" t="s">
        <v>41</v>
      </c>
      <c r="B79" s="25">
        <f>'Исходные данные'!$A5</f>
        <v>2005</v>
      </c>
      <c r="C79" s="39">
        <f>IF(AND(Таблица13[[#This Row],[Год]]&gt;=Настройки!$B$4, Таблица13[[#This Row],[Год]]&lt;=Настройки!$B$5),IFERROR(VLOOKUP(Таблица13[[#This Row],[Год]],Данные[#All],9,FALSE),0),0)</f>
        <v>128501</v>
      </c>
      <c r="D79" s="19">
        <f>VLOOKUP($A$78,Настройки!$L$2:$N$13,2,FALSE)</f>
        <v>0.5</v>
      </c>
      <c r="E79" s="19">
        <f>VLOOKUP($A$78,Настройки!$L$2:$N$13,3,FALSE)</f>
        <v>0.5</v>
      </c>
      <c r="F79" s="20">
        <f>D79*VLOOKUP(B79,'Исходные данные'!$A$4:$G$24,2,FALSE)+E79*VLOOKUP(B79,'Исходные данные'!$A$4:$G$24,3,FALSE)+(1-D79-E79)*VLOOKUP(B79,'Исходные данные'!$A$4:$G$24,4,FALSE)</f>
        <v>0.48257986829797039</v>
      </c>
      <c r="G79" s="40">
        <f>I78</f>
        <v>125452.21071835791</v>
      </c>
      <c r="H79" s="21">
        <f t="shared" ref="H79:H98" si="22">(G79+C79)*F79</f>
        <v>122552.70698231188</v>
      </c>
      <c r="I79" s="21">
        <f t="shared" ref="I79:I98" si="23">G79+C79+H79</f>
        <v>376505.91770066979</v>
      </c>
      <c r="J79" s="23">
        <f>J78+C79</f>
        <v>243501</v>
      </c>
      <c r="K79" s="22">
        <f t="shared" ref="K79:K98" si="24">IFERROR((I79-J79)/J79,"")</f>
        <v>0.54621918472889142</v>
      </c>
      <c r="L79" s="22">
        <f>IFERROR((1+K79)/VLOOKUP(B79,'Исходные данные'!$A$4:$G$24,6,FALSE)-1,"")</f>
        <v>0.24764688078262398</v>
      </c>
      <c r="M79" s="20">
        <f t="shared" ref="M79:M98" si="25">IFERROR((I79/J79)^(1/(B79-$B$78+1))-1,"")</f>
        <v>0.24347062077432757</v>
      </c>
    </row>
    <row r="80" spans="1:14" x14ac:dyDescent="0.25">
      <c r="A80" s="27" t="s">
        <v>41</v>
      </c>
      <c r="B80" s="25">
        <f>'Исходные данные'!$A6</f>
        <v>2006</v>
      </c>
      <c r="C80" s="39">
        <f>IF(AND(Таблица13[[#This Row],[Год]]&gt;=Настройки!$B$4, Таблица13[[#This Row],[Год]]&lt;=Настройки!$B$5),IFERROR(VLOOKUP(Таблица13[[#This Row],[Год]],Данные[#All],9,FALSE),0),0)</f>
        <v>142520.45910000001</v>
      </c>
      <c r="D80" s="19">
        <f>VLOOKUP($A$78,Настройки!$L$2:$N$13,2,FALSE)</f>
        <v>0.5</v>
      </c>
      <c r="E80" s="19">
        <f>VLOOKUP($A$78,Настройки!$L$2:$N$13,3,FALSE)</f>
        <v>0.5</v>
      </c>
      <c r="F80" s="20">
        <f>D80*VLOOKUP(B80,'Исходные данные'!$A$4:$G$24,2,FALSE)+E80*VLOOKUP(B80,'Исходные данные'!$A$4:$G$24,3,FALSE)+(1-D80-E80)*VLOOKUP(B80,'Исходные данные'!$A$4:$G$24,4,FALSE)</f>
        <v>0.3833460933660503</v>
      </c>
      <c r="G80" s="40">
        <f>I79</f>
        <v>376505.91770066979</v>
      </c>
      <c r="H80" s="21">
        <f t="shared" si="22"/>
        <v>198966.73390047238</v>
      </c>
      <c r="I80" s="21">
        <f t="shared" si="23"/>
        <v>717993.11070114223</v>
      </c>
      <c r="J80" s="23">
        <f t="shared" ref="J80:J98" si="26">J79+C80</f>
        <v>386021.45909999998</v>
      </c>
      <c r="K80" s="22">
        <f t="shared" si="24"/>
        <v>0.85998237604491312</v>
      </c>
      <c r="L80" s="22">
        <f>IFERROR((1+K80)/VLOOKUP(B80,'Исходные данные'!$A$4:$G$24,6,FALSE)-1,"")</f>
        <v>0.3769017721469452</v>
      </c>
      <c r="M80" s="20">
        <f t="shared" si="25"/>
        <v>0.22980506220494323</v>
      </c>
      <c r="N80" s="24"/>
    </row>
    <row r="81" spans="1:13" x14ac:dyDescent="0.25">
      <c r="A81" s="27" t="s">
        <v>41</v>
      </c>
      <c r="B81" s="25">
        <f>'Исходные данные'!$A7</f>
        <v>2007</v>
      </c>
      <c r="C81" s="39">
        <f>IF(AND(Таблица13[[#This Row],[Год]]&gt;=Настройки!$B$4, Таблица13[[#This Row],[Год]]&lt;=Настройки!$B$5),IFERROR(VLOOKUP(Таблица13[[#This Row],[Год]],Данные[#All],9,FALSE),0),0)</f>
        <v>155347.30041900001</v>
      </c>
      <c r="D81" s="19">
        <f>VLOOKUP($A$78,Настройки!$L$2:$N$13,2,FALSE)</f>
        <v>0.5</v>
      </c>
      <c r="E81" s="19">
        <f>VLOOKUP($A$78,Настройки!$L$2:$N$13,3,FALSE)</f>
        <v>0.5</v>
      </c>
      <c r="F81" s="20">
        <f>D81*VLOOKUP(B81,'Исходные данные'!$A$4:$G$24,2,FALSE)+E81*VLOOKUP(B81,'Исходные данные'!$A$4:$G$24,3,FALSE)+(1-D81-E81)*VLOOKUP(B81,'Исходные данные'!$A$4:$G$24,4,FALSE)</f>
        <v>0.10026971234749182</v>
      </c>
      <c r="G81" s="40">
        <f t="shared" ref="G81:G98" si="27">I80</f>
        <v>717993.11070114223</v>
      </c>
      <c r="H81" s="21">
        <f t="shared" si="22"/>
        <v>87569.591804456912</v>
      </c>
      <c r="I81" s="21">
        <f t="shared" si="23"/>
        <v>960910.0029245991</v>
      </c>
      <c r="J81" s="23">
        <f t="shared" si="26"/>
        <v>541368.75951899996</v>
      </c>
      <c r="K81" s="22">
        <f t="shared" si="24"/>
        <v>0.77496389665771781</v>
      </c>
      <c r="L81" s="22">
        <f>IFERROR((1+K81)/VLOOKUP(B81,'Исходные данные'!$A$4:$G$24,6,FALSE)-1,"")</f>
        <v>0.17454596015216839</v>
      </c>
      <c r="M81" s="20">
        <f t="shared" si="25"/>
        <v>0.15424334957391284</v>
      </c>
    </row>
    <row r="82" spans="1:13" x14ac:dyDescent="0.25">
      <c r="A82" s="27" t="s">
        <v>41</v>
      </c>
      <c r="B82" s="25">
        <f>'Исходные данные'!$A8</f>
        <v>2008</v>
      </c>
      <c r="C82" s="39">
        <f>IF(AND(Таблица13[[#This Row],[Год]]&gt;=Настройки!$B$4, Таблица13[[#This Row],[Год]]&lt;=Настройки!$B$5),IFERROR(VLOOKUP(Таблица13[[#This Row],[Год]],Данные[#All],9,FALSE),0),0)</f>
        <v>173787.02497873531</v>
      </c>
      <c r="D82" s="19">
        <f>VLOOKUP($A$78,Настройки!$L$2:$N$13,2,FALSE)</f>
        <v>0.5</v>
      </c>
      <c r="E82" s="19">
        <f>VLOOKUP($A$78,Настройки!$L$2:$N$13,3,FALSE)</f>
        <v>0.5</v>
      </c>
      <c r="F82" s="20">
        <f>D82*VLOOKUP(B82,'Исходные данные'!$A$4:$G$24,2,FALSE)+E82*VLOOKUP(B82,'Исходные данные'!$A$4:$G$24,3,FALSE)+(1-D82-E82)*VLOOKUP(B82,'Исходные данные'!$A$4:$G$24,4,FALSE)</f>
        <v>-0.36081089775072356</v>
      </c>
      <c r="G82" s="40">
        <f t="shared" si="27"/>
        <v>960910.0029245991</v>
      </c>
      <c r="H82" s="21">
        <f t="shared" si="22"/>
        <v>-409411.05331287993</v>
      </c>
      <c r="I82" s="21">
        <f t="shared" si="23"/>
        <v>725285.97459045448</v>
      </c>
      <c r="J82" s="23">
        <f t="shared" si="26"/>
        <v>715155.78449773532</v>
      </c>
      <c r="K82" s="22">
        <f t="shared" si="24"/>
        <v>1.4165011753115785E-2</v>
      </c>
      <c r="L82" s="22">
        <f>IFERROR((1+K82)/VLOOKUP(B82,'Исходные данные'!$A$4:$G$24,6,FALSE)-1,"")</f>
        <v>-0.40757159299157308</v>
      </c>
      <c r="M82" s="20">
        <f t="shared" si="25"/>
        <v>2.8170856320688387E-3</v>
      </c>
    </row>
    <row r="83" spans="1:13" x14ac:dyDescent="0.25">
      <c r="A83" s="27" t="s">
        <v>41</v>
      </c>
      <c r="B83" s="25">
        <f>'Исходные данные'!$A9</f>
        <v>2009</v>
      </c>
      <c r="C83" s="39">
        <f>IF(AND(Таблица13[[#This Row],[Год]]&gt;=Настройки!$B$4, Таблица13[[#This Row],[Год]]&lt;=Настройки!$B$5),IFERROR(VLOOKUP(Таблица13[[#This Row],[Год]],Данные[#All],9,FALSE),0),0)</f>
        <v>196865.94189591135</v>
      </c>
      <c r="D83" s="19">
        <f>VLOOKUP($A$78,Настройки!$L$2:$N$13,2,FALSE)</f>
        <v>0.5</v>
      </c>
      <c r="E83" s="19">
        <f>VLOOKUP($A$78,Настройки!$L$2:$N$13,3,FALSE)</f>
        <v>0.5</v>
      </c>
      <c r="F83" s="20">
        <f>D83*VLOOKUP(B83,'Исходные данные'!$A$4:$G$24,2,FALSE)+E83*VLOOKUP(B83,'Исходные данные'!$A$4:$G$24,3,FALSE)+(1-D83-E83)*VLOOKUP(B83,'Исходные данные'!$A$4:$G$24,4,FALSE)</f>
        <v>0.80718596374856155</v>
      </c>
      <c r="G83" s="40">
        <f t="shared" si="27"/>
        <v>725285.97459045448</v>
      </c>
      <c r="H83" s="21">
        <f t="shared" si="22"/>
        <v>744348.08343163028</v>
      </c>
      <c r="I83" s="21">
        <f t="shared" si="23"/>
        <v>1666499.9999179961</v>
      </c>
      <c r="J83" s="23">
        <f t="shared" si="26"/>
        <v>912021.72639364668</v>
      </c>
      <c r="K83" s="22">
        <f t="shared" si="24"/>
        <v>0.82725910106082456</v>
      </c>
      <c r="L83" s="22">
        <f>IFERROR((1+K83)/VLOOKUP(B83,'Исходные данные'!$A$4:$G$24,6,FALSE)-1,"")</f>
        <v>-1.8933402210778771E-2</v>
      </c>
      <c r="M83" s="20">
        <f t="shared" si="25"/>
        <v>0.1056899333311363</v>
      </c>
    </row>
    <row r="84" spans="1:13" x14ac:dyDescent="0.25">
      <c r="A84" s="27" t="s">
        <v>41</v>
      </c>
      <c r="B84" s="25">
        <f>'Исходные данные'!$A10</f>
        <v>2010</v>
      </c>
      <c r="C84" s="39">
        <f>IF(AND(Таблица13[[#This Row],[Год]]&gt;=Настройки!$B$4, Таблица13[[#This Row],[Год]]&lt;=Настройки!$B$5),IFERROR(VLOOKUP(Таблица13[[#This Row],[Год]],Данные[#All],9,FALSE),0),0)</f>
        <v>214190.14478275157</v>
      </c>
      <c r="D84" s="19">
        <f>VLOOKUP($A$78,Настройки!$L$2:$N$13,2,FALSE)</f>
        <v>0.5</v>
      </c>
      <c r="E84" s="19">
        <f>VLOOKUP($A$78,Настройки!$L$2:$N$13,3,FALSE)</f>
        <v>0.5</v>
      </c>
      <c r="F84" s="20">
        <f>D84*VLOOKUP(B84,'Исходные данные'!$A$4:$G$24,2,FALSE)+E84*VLOOKUP(B84,'Исходные данные'!$A$4:$G$24,3,FALSE)+(1-D84-E84)*VLOOKUP(B84,'Исходные данные'!$A$4:$G$24,4,FALSE)</f>
        <v>0.1821610143192941</v>
      </c>
      <c r="G84" s="40">
        <f t="shared" si="27"/>
        <v>1666499.9999179961</v>
      </c>
      <c r="H84" s="21">
        <f t="shared" si="22"/>
        <v>342588.42437898822</v>
      </c>
      <c r="I84" s="21">
        <f t="shared" si="23"/>
        <v>2223278.5690797358</v>
      </c>
      <c r="J84" s="23">
        <f t="shared" si="26"/>
        <v>1126211.8711763984</v>
      </c>
      <c r="K84" s="22">
        <f t="shared" si="24"/>
        <v>0.97412105659779902</v>
      </c>
      <c r="L84" s="22">
        <f>IFERROR((1+K84)/VLOOKUP(B84,'Исходные данные'!$A$4:$G$24,6,FALSE)-1,"")</f>
        <v>-2.5631843351855532E-2</v>
      </c>
      <c r="M84" s="20">
        <f t="shared" si="25"/>
        <v>0.10203719935362066</v>
      </c>
    </row>
    <row r="85" spans="1:13" x14ac:dyDescent="0.25">
      <c r="A85" s="27" t="s">
        <v>41</v>
      </c>
      <c r="B85" s="25">
        <f>'Исходные данные'!$A11</f>
        <v>2011</v>
      </c>
      <c r="C85" s="39">
        <f>IF(AND(Таблица13[[#This Row],[Год]]&gt;=Настройки!$B$4, Таблица13[[#This Row],[Год]]&lt;=Настройки!$B$5),IFERROR(VLOOKUP(Таблица13[[#This Row],[Год]],Данные[#All],9,FALSE),0),0)</f>
        <v>232996.03949467718</v>
      </c>
      <c r="D85" s="19">
        <f>VLOOKUP($A$78,Настройки!$L$2:$N$13,2,FALSE)</f>
        <v>0.5</v>
      </c>
      <c r="E85" s="19">
        <f>VLOOKUP($A$78,Настройки!$L$2:$N$13,3,FALSE)</f>
        <v>0.5</v>
      </c>
      <c r="F85" s="20">
        <f>D85*VLOOKUP(B85,'Исходные данные'!$A$4:$G$24,2,FALSE)+E85*VLOOKUP(B85,'Исходные данные'!$A$4:$G$24,3,FALSE)+(1-D85-E85)*VLOOKUP(B85,'Исходные данные'!$A$4:$G$24,4,FALSE)</f>
        <v>-4.3305113280473484E-2</v>
      </c>
      <c r="G85" s="40">
        <f t="shared" si="27"/>
        <v>2223278.5690797358</v>
      </c>
      <c r="H85" s="21">
        <f t="shared" si="22"/>
        <v>-106369.25017226562</v>
      </c>
      <c r="I85" s="21">
        <f t="shared" si="23"/>
        <v>2349905.358402147</v>
      </c>
      <c r="J85" s="23">
        <f t="shared" si="26"/>
        <v>1359207.9106710756</v>
      </c>
      <c r="K85" s="22">
        <f t="shared" si="24"/>
        <v>0.72887851810834359</v>
      </c>
      <c r="L85" s="22">
        <f>IFERROR((1+K85)/VLOOKUP(B85,'Исходные данные'!$A$4:$G$24,6,FALSE)-1,"")</f>
        <v>-0.19573643305450861</v>
      </c>
      <c r="M85" s="20">
        <f t="shared" si="25"/>
        <v>7.0830074049135217E-2</v>
      </c>
    </row>
    <row r="86" spans="1:13" x14ac:dyDescent="0.25">
      <c r="A86" s="27" t="s">
        <v>41</v>
      </c>
      <c r="B86" s="25">
        <f>'Исходные данные'!$A12</f>
        <v>2012</v>
      </c>
      <c r="C86" s="39">
        <f>IF(AND(Таблица13[[#This Row],[Год]]&gt;=Настройки!$B$4, Таблица13[[#This Row],[Год]]&lt;=Настройки!$B$5),IFERROR(VLOOKUP(Таблица13[[#This Row],[Год]],Данные[#All],9,FALSE),0),0)</f>
        <v>247208.79790385248</v>
      </c>
      <c r="D86" s="19">
        <f>VLOOKUP($A$78,Настройки!$L$2:$N$13,2,FALSE)</f>
        <v>0.5</v>
      </c>
      <c r="E86" s="19">
        <f>VLOOKUP($A$78,Настройки!$L$2:$N$13,3,FALSE)</f>
        <v>0.5</v>
      </c>
      <c r="F86" s="20">
        <f>D86*VLOOKUP(B86,'Исходные данные'!$A$4:$G$24,2,FALSE)+E86*VLOOKUP(B86,'Исходные данные'!$A$4:$G$24,3,FALSE)+(1-D86-E86)*VLOOKUP(B86,'Исходные данные'!$A$4:$G$24,4,FALSE)</f>
        <v>0.1170735025515417</v>
      </c>
      <c r="G86" s="40">
        <f t="shared" si="27"/>
        <v>2349905.358402147</v>
      </c>
      <c r="H86" s="21">
        <f t="shared" si="22"/>
        <v>304053.25080493547</v>
      </c>
      <c r="I86" s="21">
        <f t="shared" si="23"/>
        <v>2901167.4071109351</v>
      </c>
      <c r="J86" s="23">
        <f t="shared" si="26"/>
        <v>1606416.7085749281</v>
      </c>
      <c r="K86" s="22">
        <f t="shared" si="24"/>
        <v>0.8059868224880431</v>
      </c>
      <c r="L86" s="22">
        <f>IFERROR((1+K86)/VLOOKUP(B86,'Исходные данные'!$A$4:$G$24,6,FALSE)-1,"")</f>
        <v>-0.21173402885788462</v>
      </c>
      <c r="M86" s="20">
        <f t="shared" si="25"/>
        <v>6.7883415605192621E-2</v>
      </c>
    </row>
    <row r="87" spans="1:13" x14ac:dyDescent="0.25">
      <c r="A87" s="27" t="s">
        <v>41</v>
      </c>
      <c r="B87" s="25">
        <f>'Исходные данные'!$A13</f>
        <v>2013</v>
      </c>
      <c r="C87" s="39">
        <f>IF(AND(Таблица13[[#This Row],[Год]]&gt;=Настройки!$B$4, Таблица13[[#This Row],[Год]]&lt;=Настройки!$B$5),IFERROR(VLOOKUP(Таблица13[[#This Row],[Год]],Данные[#All],9,FALSE),0),0)</f>
        <v>263475.13680592598</v>
      </c>
      <c r="D87" s="19">
        <f>VLOOKUP($A$78,Настройки!$L$2:$N$13,2,FALSE)</f>
        <v>0.5</v>
      </c>
      <c r="E87" s="19">
        <f>VLOOKUP($A$78,Настройки!$L$2:$N$13,3,FALSE)</f>
        <v>0.5</v>
      </c>
      <c r="F87" s="20">
        <f>D87*VLOOKUP(B87,'Исходные данные'!$A$4:$G$24,2,FALSE)+E87*VLOOKUP(B87,'Исходные данные'!$A$4:$G$24,3,FALSE)+(1-D87-E87)*VLOOKUP(B87,'Исходные данные'!$A$4:$G$24,4,FALSE)</f>
        <v>5.0585097651309585E-2</v>
      </c>
      <c r="G87" s="40">
        <f t="shared" si="27"/>
        <v>2901167.4071109351</v>
      </c>
      <c r="H87" s="21">
        <f t="shared" si="22"/>
        <v>160083.75211552321</v>
      </c>
      <c r="I87" s="21">
        <f t="shared" si="23"/>
        <v>3324726.296032384</v>
      </c>
      <c r="J87" s="23">
        <f t="shared" si="26"/>
        <v>1869891.8453808541</v>
      </c>
      <c r="K87" s="22">
        <f t="shared" si="24"/>
        <v>0.77803133600767882</v>
      </c>
      <c r="L87" s="22">
        <f>IFERROR((1+K87)/VLOOKUP(B87,'Исходные данные'!$A$4:$G$24,6,FALSE)-1,"")</f>
        <v>-0.27095901070145123</v>
      </c>
      <c r="M87" s="20">
        <f t="shared" si="25"/>
        <v>5.9238947418655652E-2</v>
      </c>
    </row>
    <row r="88" spans="1:13" x14ac:dyDescent="0.25">
      <c r="A88" s="27" t="s">
        <v>41</v>
      </c>
      <c r="B88" s="25">
        <f>'Исходные данные'!$A14</f>
        <v>2014</v>
      </c>
      <c r="C88" s="39">
        <f>IF(AND(Таблица13[[#This Row],[Год]]&gt;=Настройки!$B$4, Таблица13[[#This Row],[Год]]&lt;=Настройки!$B$5),IFERROR(VLOOKUP(Таблица13[[#This Row],[Год]],Данные[#All],9,FALSE),0),0)</f>
        <v>280469.2831299082</v>
      </c>
      <c r="D88" s="19">
        <f>VLOOKUP($A$78,Настройки!$L$2:$N$13,2,FALSE)</f>
        <v>0.5</v>
      </c>
      <c r="E88" s="19">
        <f>VLOOKUP($A$78,Настройки!$L$2:$N$13,3,FALSE)</f>
        <v>0.5</v>
      </c>
      <c r="F88" s="20">
        <f>D88*VLOOKUP(B88,'Исходные данные'!$A$4:$G$24,2,FALSE)+E88*VLOOKUP(B88,'Исходные данные'!$A$4:$G$24,3,FALSE)+(1-D88-E88)*VLOOKUP(B88,'Исходные данные'!$A$4:$G$24,4,FALSE)</f>
        <v>-8.0997486073854374E-2</v>
      </c>
      <c r="G88" s="40">
        <f t="shared" si="27"/>
        <v>3324726.296032384</v>
      </c>
      <c r="H88" s="21">
        <f t="shared" si="22"/>
        <v>-292011.77871671913</v>
      </c>
      <c r="I88" s="21">
        <f t="shared" si="23"/>
        <v>3313183.8004455729</v>
      </c>
      <c r="J88" s="23">
        <f t="shared" si="26"/>
        <v>2150361.1285107625</v>
      </c>
      <c r="K88" s="22">
        <f t="shared" si="24"/>
        <v>0.54075692520545415</v>
      </c>
      <c r="L88" s="22">
        <f>IFERROR((1+K88)/VLOOKUP(B88,'Исходные данные'!$A$4:$G$24,6,FALSE)-1,"")</f>
        <v>-0.43269391479297115</v>
      </c>
      <c r="M88" s="20">
        <f t="shared" si="25"/>
        <v>4.0079984829795912E-2</v>
      </c>
    </row>
    <row r="89" spans="1:13" x14ac:dyDescent="0.25">
      <c r="A89" s="27" t="s">
        <v>41</v>
      </c>
      <c r="B89" s="25">
        <f>'Исходные данные'!$A15</f>
        <v>2015</v>
      </c>
      <c r="C89" s="39">
        <f>IF(AND(Таблица13[[#This Row],[Год]]&gt;=Настройки!$B$4, Таблица13[[#This Row],[Год]]&lt;=Настройки!$B$5),IFERROR(VLOOKUP(Таблица13[[#This Row],[Год]],Данные[#All],9,FALSE),0),0)</f>
        <v>312330.59369346575</v>
      </c>
      <c r="D89" s="19">
        <f>VLOOKUP($A$78,Настройки!$L$2:$N$13,2,FALSE)</f>
        <v>0.5</v>
      </c>
      <c r="E89" s="19">
        <f>VLOOKUP($A$78,Настройки!$L$2:$N$13,3,FALSE)</f>
        <v>0.5</v>
      </c>
      <c r="F89" s="20">
        <f>D89*VLOOKUP(B89,'Исходные данные'!$A$4:$G$24,2,FALSE)+E89*VLOOKUP(B89,'Исходные данные'!$A$4:$G$24,3,FALSE)+(1-D89-E89)*VLOOKUP(B89,'Исходные данные'!$A$4:$G$24,4,FALSE)</f>
        <v>0.30915369944152682</v>
      </c>
      <c r="G89" s="40">
        <f t="shared" si="27"/>
        <v>3313183.8004455729</v>
      </c>
      <c r="H89" s="21">
        <f t="shared" si="22"/>
        <v>1120841.1873265896</v>
      </c>
      <c r="I89" s="21">
        <f t="shared" si="23"/>
        <v>4746355.581465628</v>
      </c>
      <c r="J89" s="23">
        <f t="shared" si="26"/>
        <v>2462691.7222042284</v>
      </c>
      <c r="K89" s="22">
        <f t="shared" si="24"/>
        <v>0.927303989643255</v>
      </c>
      <c r="L89" s="22">
        <f>IFERROR((1+K89)/VLOOKUP(B89,'Исходные данные'!$A$4:$G$24,6,FALSE)-1,"")</f>
        <v>-0.37150601352586798</v>
      </c>
      <c r="M89" s="20">
        <f t="shared" si="25"/>
        <v>5.6199242555331264E-2</v>
      </c>
    </row>
    <row r="90" spans="1:13" x14ac:dyDescent="0.25">
      <c r="A90" s="27" t="s">
        <v>41</v>
      </c>
      <c r="B90" s="25">
        <f>'Исходные данные'!$A16</f>
        <v>2016</v>
      </c>
      <c r="C90" s="39">
        <f>IF(AND(Таблица13[[#This Row],[Год]]&gt;=Настройки!$B$4, Таблица13[[#This Row],[Год]]&lt;=Настройки!$B$5),IFERROR(VLOOKUP(Таблица13[[#This Row],[Год]],Данные[#All],9,FALSE),0),0)</f>
        <v>352652.47333929216</v>
      </c>
      <c r="D90" s="19">
        <f>VLOOKUP($A$78,Настройки!$L$2:$N$13,2,FALSE)</f>
        <v>0.5</v>
      </c>
      <c r="E90" s="19">
        <f>VLOOKUP($A$78,Настройки!$L$2:$N$13,3,FALSE)</f>
        <v>0.5</v>
      </c>
      <c r="F90" s="20">
        <f>D90*VLOOKUP(B90,'Исходные данные'!$A$4:$G$24,2,FALSE)+E90*VLOOKUP(B90,'Исходные данные'!$A$4:$G$24,3,FALSE)+(1-D90-E90)*VLOOKUP(B90,'Исходные данные'!$A$4:$G$24,4,FALSE)</f>
        <v>0.2382929326900608</v>
      </c>
      <c r="G90" s="40">
        <f t="shared" si="27"/>
        <v>4746355.581465628</v>
      </c>
      <c r="H90" s="21">
        <f t="shared" si="22"/>
        <v>1215057.5831897068</v>
      </c>
      <c r="I90" s="21">
        <f t="shared" si="23"/>
        <v>6314065.6379946265</v>
      </c>
      <c r="J90" s="23">
        <f t="shared" si="26"/>
        <v>2815344.1955435206</v>
      </c>
      <c r="K90" s="22">
        <f t="shared" si="24"/>
        <v>1.2427331080829549</v>
      </c>
      <c r="L90" s="22">
        <f>IFERROR((1+K90)/VLOOKUP(B90,'Исходные данные'!$A$4:$G$24,6,FALSE)-1,"")</f>
        <v>-0.30598268415350804</v>
      </c>
      <c r="M90" s="20">
        <f t="shared" si="25"/>
        <v>6.4101099345931667E-2</v>
      </c>
    </row>
    <row r="91" spans="1:13" x14ac:dyDescent="0.25">
      <c r="A91" s="27" t="s">
        <v>41</v>
      </c>
      <c r="B91" s="25">
        <f>'Исходные данные'!$A17</f>
        <v>2017</v>
      </c>
      <c r="C91" s="39">
        <f>IF(AND(Таблица13[[#This Row],[Год]]&gt;=Настройки!$B$4, Таблица13[[#This Row],[Год]]&lt;=Настройки!$B$5),IFERROR(VLOOKUP(Таблица13[[#This Row],[Год]],Данные[#All],9,FALSE),0),0)</f>
        <v>371625.17640494613</v>
      </c>
      <c r="D91" s="19">
        <f>VLOOKUP($A$78,Настройки!$L$2:$N$13,2,FALSE)</f>
        <v>0.5</v>
      </c>
      <c r="E91" s="19">
        <f>VLOOKUP($A$78,Настройки!$L$2:$N$13,3,FALSE)</f>
        <v>0.5</v>
      </c>
      <c r="F91" s="20">
        <f>D91*VLOOKUP(B91,'Исходные данные'!$A$4:$G$24,2,FALSE)+E91*VLOOKUP(B91,'Исходные данные'!$A$4:$G$24,3,FALSE)+(1-D91-E91)*VLOOKUP(B91,'Исходные данные'!$A$4:$G$24,4,FALSE)</f>
        <v>6.2763167277242571E-2</v>
      </c>
      <c r="G91" s="40">
        <f t="shared" si="27"/>
        <v>6314065.6379946265</v>
      </c>
      <c r="H91" s="21">
        <f t="shared" si="22"/>
        <v>419615.13094808452</v>
      </c>
      <c r="I91" s="21">
        <f t="shared" si="23"/>
        <v>7105305.9453476574</v>
      </c>
      <c r="J91" s="23">
        <f t="shared" si="26"/>
        <v>3186969.3719484666</v>
      </c>
      <c r="K91" s="22">
        <f t="shared" si="24"/>
        <v>1.2294867368002276</v>
      </c>
      <c r="L91" s="22">
        <f>IFERROR((1+K91)/VLOOKUP(B91,'Исходные данные'!$A$4:$G$24,6,FALSE)-1,"")</f>
        <v>-0.32704037724081081</v>
      </c>
      <c r="M91" s="20">
        <f t="shared" si="25"/>
        <v>5.8941035269047815E-2</v>
      </c>
    </row>
    <row r="92" spans="1:13" x14ac:dyDescent="0.25">
      <c r="A92" s="27" t="s">
        <v>41</v>
      </c>
      <c r="B92" s="25">
        <f>'Исходные данные'!$A18</f>
        <v>2018</v>
      </c>
      <c r="C92" s="39">
        <f>IF(AND(Таблица13[[#This Row],[Год]]&gt;=Настройки!$B$4, Таблица13[[#This Row],[Год]]&lt;=Настройки!$B$5),IFERROR(VLOOKUP(Таблица13[[#This Row],[Год]],Данные[#All],9,FALSE),0),0)</f>
        <v>380990.13085035072</v>
      </c>
      <c r="D92" s="19">
        <f>VLOOKUP($A$78,Настройки!$L$2:$N$13,2,FALSE)</f>
        <v>0.5</v>
      </c>
      <c r="E92" s="19">
        <f>VLOOKUP($A$78,Настройки!$L$2:$N$13,3,FALSE)</f>
        <v>0.5</v>
      </c>
      <c r="F92" s="20">
        <f>D92*VLOOKUP(B92,'Исходные данные'!$A$4:$G$24,2,FALSE)+E92*VLOOKUP(B92,'Исходные данные'!$A$4:$G$24,3,FALSE)+(1-D92-E92)*VLOOKUP(B92,'Исходные данные'!$A$4:$G$24,4,FALSE)</f>
        <v>0.10603818119000219</v>
      </c>
      <c r="G92" s="40">
        <f t="shared" si="27"/>
        <v>7105305.9453476574</v>
      </c>
      <c r="H92" s="21">
        <f t="shared" si="22"/>
        <v>793833.21976988681</v>
      </c>
      <c r="I92" s="21">
        <f t="shared" si="23"/>
        <v>8280129.2959678946</v>
      </c>
      <c r="J92" s="23">
        <f t="shared" si="26"/>
        <v>3567959.5027988171</v>
      </c>
      <c r="K92" s="22">
        <f t="shared" si="24"/>
        <v>1.3206903804465007</v>
      </c>
      <c r="L92" s="22">
        <f>IFERROR((1+K92)/VLOOKUP(B92,'Исходные данные'!$A$4:$G$24,6,FALSE)-1,"")</f>
        <v>-0.32819699366684563</v>
      </c>
      <c r="M92" s="20">
        <f t="shared" si="25"/>
        <v>5.7729166755440486E-2</v>
      </c>
    </row>
    <row r="93" spans="1:13" x14ac:dyDescent="0.25">
      <c r="A93" s="27" t="s">
        <v>41</v>
      </c>
      <c r="B93" s="25">
        <f>'Исходные данные'!$A19</f>
        <v>2019</v>
      </c>
      <c r="C93" s="39">
        <f>IF(AND(Таблица13[[#This Row],[Год]]&gt;=Настройки!$B$4, Таблица13[[#This Row],[Год]]&lt;=Настройки!$B$5),IFERROR(VLOOKUP(Таблица13[[#This Row],[Год]],Данные[#All],9,FALSE),0),0)</f>
        <v>397258.40943766065</v>
      </c>
      <c r="D93" s="19">
        <f>VLOOKUP($A$78,Настройки!$L$2:$N$13,2,FALSE)</f>
        <v>0.5</v>
      </c>
      <c r="E93" s="19">
        <f>VLOOKUP($A$78,Настройки!$L$2:$N$13,3,FALSE)</f>
        <v>0.5</v>
      </c>
      <c r="F93" s="20">
        <f>D93*VLOOKUP(B93,'Исходные данные'!$A$4:$G$24,2,FALSE)+E93*VLOOKUP(B93,'Исходные данные'!$A$4:$G$24,3,FALSE)+(1-D93-E93)*VLOOKUP(B93,'Исходные данные'!$A$4:$G$24,4,FALSE)</f>
        <v>0.29221398577063962</v>
      </c>
      <c r="G93" s="40">
        <f t="shared" si="27"/>
        <v>8280129.2959678946</v>
      </c>
      <c r="H93" s="21">
        <f t="shared" si="22"/>
        <v>2535654.0474737021</v>
      </c>
      <c r="I93" s="21">
        <f t="shared" si="23"/>
        <v>11213041.752879258</v>
      </c>
      <c r="J93" s="23">
        <f t="shared" si="26"/>
        <v>3965217.9122364777</v>
      </c>
      <c r="K93" s="22">
        <f t="shared" si="24"/>
        <v>1.8278500705538361</v>
      </c>
      <c r="L93" s="22">
        <f>IFERROR((1+K93)/VLOOKUP(B93,'Исходные данные'!$A$4:$G$24,6,FALSE)-1,"")</f>
        <v>-0.20561117752640101</v>
      </c>
      <c r="M93" s="20">
        <f t="shared" si="25"/>
        <v>6.7126792036890315E-2</v>
      </c>
    </row>
    <row r="94" spans="1:13" x14ac:dyDescent="0.25">
      <c r="A94" s="27" t="s">
        <v>41</v>
      </c>
      <c r="B94" s="25">
        <f>'Исходные данные'!$A20</f>
        <v>2020</v>
      </c>
      <c r="C94" s="39">
        <f>IF(AND(Таблица13[[#This Row],[Год]]&gt;=Настройки!$B$4, Таблица13[[#This Row],[Год]]&lt;=Настройки!$B$5),IFERROR(VLOOKUP(Таблица13[[#This Row],[Год]],Данные[#All],9,FALSE),0),0)</f>
        <v>409374.7909255093</v>
      </c>
      <c r="D94" s="19">
        <f>VLOOKUP($A$78,Настройки!$L$2:$N$13,2,FALSE)</f>
        <v>0.5</v>
      </c>
      <c r="E94" s="19">
        <f>VLOOKUP($A$78,Настройки!$L$2:$N$13,3,FALSE)</f>
        <v>0.5</v>
      </c>
      <c r="F94" s="20">
        <f>D94*VLOOKUP(B94,'Исходные данные'!$A$4:$G$24,2,FALSE)+E94*VLOOKUP(B94,'Исходные данные'!$A$4:$G$24,3,FALSE)+(1-D94-E94)*VLOOKUP(B94,'Исходные данные'!$A$4:$G$24,4,FALSE)</f>
        <v>0.116826423607441</v>
      </c>
      <c r="G94" s="40">
        <f t="shared" si="27"/>
        <v>11213041.752879258</v>
      </c>
      <c r="H94" s="21">
        <f t="shared" si="22"/>
        <v>1357805.3584886661</v>
      </c>
      <c r="I94" s="21">
        <f t="shared" si="23"/>
        <v>12980221.902293434</v>
      </c>
      <c r="J94" s="23">
        <f t="shared" si="26"/>
        <v>4374592.7031619865</v>
      </c>
      <c r="K94" s="22">
        <f t="shared" si="24"/>
        <v>1.9671840975986721</v>
      </c>
      <c r="L94" s="22">
        <f>IFERROR((1+K94)/VLOOKUP(B94,'Исходные данные'!$A$4:$G$24,6,FALSE)-1,"")</f>
        <v>-0.20548088432042677</v>
      </c>
      <c r="M94" s="20">
        <f t="shared" si="25"/>
        <v>6.6068154075633601E-2</v>
      </c>
    </row>
    <row r="95" spans="1:13" x14ac:dyDescent="0.25">
      <c r="A95" s="27" t="s">
        <v>41</v>
      </c>
      <c r="B95" s="25">
        <f>'Исходные данные'!$A21</f>
        <v>2021</v>
      </c>
      <c r="C95" s="39">
        <f>IF(AND(Таблица13[[#This Row],[Год]]&gt;=Настройки!$B$4, Таблица13[[#This Row],[Год]]&lt;=Настройки!$B$5),IFERROR(VLOOKUP(Таблица13[[#This Row],[Год]],Данные[#All],9,FALSE),0),0)</f>
        <v>429475.09315995179</v>
      </c>
      <c r="D95" s="19">
        <f>VLOOKUP($A$78,Настройки!$L$2:$N$13,2,FALSE)</f>
        <v>0.5</v>
      </c>
      <c r="E95" s="19">
        <f>VLOOKUP($A$78,Настройки!$L$2:$N$13,3,FALSE)</f>
        <v>0.5</v>
      </c>
      <c r="F95" s="20">
        <f>D95*VLOOKUP(B95,'Исходные данные'!$A$4:$G$24,2,FALSE)+E95*VLOOKUP(B95,'Исходные данные'!$A$4:$G$24,3,FALSE)+(1-D95-E95)*VLOOKUP(B95,'Исходные данные'!$A$4:$G$24,4,FALSE)</f>
        <v>8.3756047464105809E-2</v>
      </c>
      <c r="G95" s="40">
        <f t="shared" si="27"/>
        <v>12980221.902293434</v>
      </c>
      <c r="H95" s="21">
        <f t="shared" si="22"/>
        <v>1123143.2180304709</v>
      </c>
      <c r="I95" s="21">
        <f t="shared" si="23"/>
        <v>14532840.213483857</v>
      </c>
      <c r="J95" s="23">
        <f t="shared" si="26"/>
        <v>4804067.7963219387</v>
      </c>
      <c r="K95" s="22">
        <f t="shared" si="24"/>
        <v>2.0251113909363232</v>
      </c>
      <c r="L95" s="22">
        <f>IFERROR((1+K95)/VLOOKUP(B95,'Исходные данные'!$A$4:$G$24,6,FALSE)-1,"")</f>
        <v>-0.25267069525455721</v>
      </c>
      <c r="M95" s="20">
        <f t="shared" si="25"/>
        <v>6.3427419334928903E-2</v>
      </c>
    </row>
    <row r="96" spans="1:13" x14ac:dyDescent="0.25">
      <c r="A96" s="27" t="s">
        <v>41</v>
      </c>
      <c r="B96" s="25">
        <f>'Исходные данные'!$A22</f>
        <v>2022</v>
      </c>
      <c r="C96" s="39">
        <f>IF(AND(Таблица13[[#This Row],[Год]]&gt;=Настройки!$B$4, Таблица13[[#This Row],[Год]]&lt;=Настройки!$B$5),IFERROR(VLOOKUP(Таблица13[[#This Row],[Год]],Данные[#All],9,FALSE),0),0)</f>
        <v>465508.0534760718</v>
      </c>
      <c r="D96" s="19">
        <f>VLOOKUP($A$78,Настройки!$L$2:$N$13,2,FALSE)</f>
        <v>0.5</v>
      </c>
      <c r="E96" s="19">
        <f>VLOOKUP($A$78,Настройки!$L$2:$N$13,3,FALSE)</f>
        <v>0.5</v>
      </c>
      <c r="F96" s="20">
        <f>D96*VLOOKUP(B96,'Исходные данные'!$A$4:$G$24,2,FALSE)+E96*VLOOKUP(B96,'Исходные данные'!$A$4:$G$24,3,FALSE)+(1-D96-E96)*VLOOKUP(B96,'Исходные данные'!$A$4:$G$24,4,FALSE)</f>
        <v>-0.16715291551368178</v>
      </c>
      <c r="G96" s="40">
        <f t="shared" si="27"/>
        <v>14532840.213483857</v>
      </c>
      <c r="H96" s="21">
        <f t="shared" si="22"/>
        <v>-2507017.6407119283</v>
      </c>
      <c r="I96" s="21">
        <f t="shared" si="23"/>
        <v>12491330.626248</v>
      </c>
      <c r="J96" s="23">
        <f t="shared" si="26"/>
        <v>5269575.8497980107</v>
      </c>
      <c r="K96" s="22">
        <f t="shared" si="24"/>
        <v>1.3704622501499448</v>
      </c>
      <c r="L96" s="22">
        <f>IFERROR((1+K96)/VLOOKUP(B96,'Исходные данные'!$A$4:$G$24,6,FALSE)-1,"")</f>
        <v>-0.47685945262751528</v>
      </c>
      <c r="M96" s="20">
        <f t="shared" si="25"/>
        <v>4.6473065816668768E-2</v>
      </c>
    </row>
    <row r="97" spans="1:14" x14ac:dyDescent="0.25">
      <c r="A97" s="27" t="s">
        <v>41</v>
      </c>
      <c r="B97" s="25">
        <f>'Исходные данные'!$A23</f>
        <v>2023</v>
      </c>
      <c r="C97" s="39">
        <f>IF(AND(Таблица13[[#This Row],[Год]]&gt;=Настройки!$B$4, Таблица13[[#This Row],[Год]]&lt;=Настройки!$B$5),IFERROR(VLOOKUP(Таблица13[[#This Row],[Год]],Данные[#All],9,FALSE),0),0)</f>
        <v>521089.71506111475</v>
      </c>
      <c r="D97" s="19">
        <f>VLOOKUP($A$78,Настройки!$L$2:$N$13,2,FALSE)</f>
        <v>0.5</v>
      </c>
      <c r="E97" s="19">
        <f>VLOOKUP($A$78,Настройки!$L$2:$N$13,3,FALSE)</f>
        <v>0.5</v>
      </c>
      <c r="F97" s="20">
        <f>D97*VLOOKUP(B97,'Исходные данные'!$A$4:$G$24,2,FALSE)+E97*VLOOKUP(B97,'Исходные данные'!$A$4:$G$24,3,FALSE)+(1-D97-E97)*VLOOKUP(B97,'Исходные данные'!$A$4:$G$24,4,FALSE)</f>
        <v>0.27297606112291917</v>
      </c>
      <c r="G97" s="40">
        <f t="shared" si="27"/>
        <v>12491330.626248</v>
      </c>
      <c r="H97" s="21">
        <f t="shared" si="22"/>
        <v>3552079.2504463135</v>
      </c>
      <c r="I97" s="21">
        <f t="shared" si="23"/>
        <v>16564499.591755429</v>
      </c>
      <c r="J97" s="23">
        <f t="shared" si="26"/>
        <v>5790665.5648591258</v>
      </c>
      <c r="K97" s="22">
        <f t="shared" si="24"/>
        <v>1.860551935908322</v>
      </c>
      <c r="L97" s="22">
        <f>IFERROR((1+K97)/VLOOKUP(B97,'Исходные данные'!$A$4:$G$24,6,FALSE)-1,"")</f>
        <v>-0.41230766279964193</v>
      </c>
      <c r="M97" s="20">
        <f t="shared" si="25"/>
        <v>5.3956027426628417E-2</v>
      </c>
    </row>
    <row r="98" spans="1:14" x14ac:dyDescent="0.25">
      <c r="A98" s="32" t="s">
        <v>41</v>
      </c>
      <c r="B98" s="33">
        <f>'Исходные данные'!$A24</f>
        <v>2024</v>
      </c>
      <c r="C98" s="39">
        <f>IF(AND(Таблица13[[#This Row],[Год]]&gt;=Настройки!$B$4, Таблица13[[#This Row],[Год]]&lt;=Настройки!$B$5),IFERROR(VLOOKUP(Таблица13[[#This Row],[Год]],Данные[#All],9,FALSE),0),0)</f>
        <v>559754.57191864948</v>
      </c>
      <c r="D98" s="34">
        <f>VLOOKUP($A$78,Настройки!$L$2:$N$13,2,FALSE)</f>
        <v>0.5</v>
      </c>
      <c r="E98" s="34">
        <f>VLOOKUP($A$78,Настройки!$L$2:$N$13,3,FALSE)</f>
        <v>0.5</v>
      </c>
      <c r="F98" s="35">
        <f>D98*VLOOKUP(B98,'Исходные данные'!$A$4:$G$24,2,FALSE)+E98*VLOOKUP(B98,'Исходные данные'!$A$4:$G$24,3,FALSE)+(1-D98-E98)*VLOOKUP(B98,'Исходные данные'!$A$4:$G$24,4,FALSE)</f>
        <v>-3.5093435750582325E-2</v>
      </c>
      <c r="G98" s="41">
        <f t="shared" si="27"/>
        <v>16564499.591755429</v>
      </c>
      <c r="H98" s="36">
        <f t="shared" si="22"/>
        <v>-600948.9132695382</v>
      </c>
      <c r="I98" s="36">
        <f t="shared" si="23"/>
        <v>16523305.25040454</v>
      </c>
      <c r="J98" s="37">
        <f t="shared" si="26"/>
        <v>6350420.1367777754</v>
      </c>
      <c r="K98" s="22">
        <f t="shared" si="24"/>
        <v>1.6019231632741264</v>
      </c>
      <c r="L98" s="22">
        <f>IFERROR((1+K98)/VLOOKUP(B98,'Исходные данные'!$A$4:$G$24,6,FALSE)-1,"")</f>
        <v>-0.51190852409879062</v>
      </c>
      <c r="M98" s="20">
        <f t="shared" si="25"/>
        <v>4.6588424454075739E-2</v>
      </c>
    </row>
    <row r="101" spans="1:14" ht="30" x14ac:dyDescent="0.25">
      <c r="A101" s="28" t="s">
        <v>50</v>
      </c>
      <c r="B101" s="29" t="s">
        <v>10</v>
      </c>
      <c r="C101" s="28" t="s">
        <v>37</v>
      </c>
      <c r="D101" s="30" t="s">
        <v>53</v>
      </c>
      <c r="E101" s="30" t="s">
        <v>54</v>
      </c>
      <c r="F101" s="30" t="s">
        <v>55</v>
      </c>
      <c r="G101" s="30" t="s">
        <v>56</v>
      </c>
      <c r="H101" s="30" t="s">
        <v>57</v>
      </c>
      <c r="I101" s="30" t="s">
        <v>80</v>
      </c>
      <c r="J101" s="30" t="s">
        <v>79</v>
      </c>
      <c r="K101" s="30" t="s">
        <v>38</v>
      </c>
      <c r="L101" s="30" t="s">
        <v>83</v>
      </c>
      <c r="M101" s="31" t="s">
        <v>59</v>
      </c>
    </row>
    <row r="102" spans="1:14" x14ac:dyDescent="0.25">
      <c r="A102" s="27" t="s">
        <v>42</v>
      </c>
      <c r="B102" s="25">
        <f>'Исходные данные'!$A4</f>
        <v>2004</v>
      </c>
      <c r="C102" s="39">
        <f>IF(AND(Таблица12[[#This Row],[Год]]&gt;=Настройки!$B$4, Таблица12[[#This Row],[Год]]&lt;=Настройки!$B$5),IFERROR(VLOOKUP(Таблица12[[#This Row],[Год]],Данные[#All],9,FALSE),0),0)</f>
        <v>115000</v>
      </c>
      <c r="D102" s="19">
        <f>VLOOKUP($A$102,Настройки!$L$2:$N$13,2,FALSE)</f>
        <v>0.1</v>
      </c>
      <c r="E102" s="19">
        <f>VLOOKUP($A$102,Настройки!$L$2:$N$13,3,FALSE)</f>
        <v>0.9</v>
      </c>
      <c r="F102" s="20">
        <f>D102*VLOOKUP(B102,'Исходные данные'!$A$4:$G$24,2,FALSE)+E102*VLOOKUP(B102,'Исходные данные'!$A$4:$G$24,3,FALSE)+(1-D102-E102)*VLOOKUP(B102,'Исходные данные'!$A$4:$G$24,4,FALSE)</f>
        <v>0.10529902920298391</v>
      </c>
      <c r="G102" s="39">
        <f>0</f>
        <v>0</v>
      </c>
      <c r="H102" s="21">
        <f>(G102+C102)*F102</f>
        <v>12109.388358343149</v>
      </c>
      <c r="I102" s="21">
        <f>G102+C102+H102</f>
        <v>127109.38835834315</v>
      </c>
      <c r="J102" s="21">
        <f>C102</f>
        <v>115000</v>
      </c>
      <c r="K102" s="22">
        <f>IFERROR((I102-J102)/J102,"")</f>
        <v>0.10529902920298387</v>
      </c>
      <c r="L102" s="22">
        <f>IFERROR((1+K102)/VLOOKUP(B102,'Исходные данные'!$A$4:$G$24,6,FALSE)-1,"")</f>
        <v>-1.0829578304113241E-2</v>
      </c>
      <c r="M102" s="20">
        <f>IFERROR((I102/J102)^(1/(B102-$B$102+1))-1,"")</f>
        <v>0.10529902920298384</v>
      </c>
      <c r="N102" s="24"/>
    </row>
    <row r="103" spans="1:14" x14ac:dyDescent="0.25">
      <c r="A103" s="27" t="s">
        <v>42</v>
      </c>
      <c r="B103" s="25">
        <f>'Исходные данные'!$A5</f>
        <v>2005</v>
      </c>
      <c r="C103" s="39">
        <f>IF(AND(Таблица12[[#This Row],[Год]]&gt;=Настройки!$B$4, Таблица12[[#This Row],[Год]]&lt;=Настройки!$B$5),IFERROR(VLOOKUP(Таблица12[[#This Row],[Год]],Данные[#All],9,FALSE),0),0)</f>
        <v>128501</v>
      </c>
      <c r="D103" s="19">
        <f>VLOOKUP($A$102,Настройки!$L$2:$N$13,2,FALSE)</f>
        <v>0.1</v>
      </c>
      <c r="E103" s="19">
        <f>VLOOKUP($A$102,Настройки!$L$2:$N$13,3,FALSE)</f>
        <v>0.9</v>
      </c>
      <c r="F103" s="20">
        <f>D103*VLOOKUP(B103,'Исходные данные'!$A$4:$G$24,2,FALSE)+E103*VLOOKUP(B103,'Исходные данные'!$A$4:$G$24,3,FALSE)+(1-D103-E103)*VLOOKUP(B103,'Исходные данные'!$A$4:$G$24,4,FALSE)</f>
        <v>0.18965350543028037</v>
      </c>
      <c r="G103" s="40">
        <f>I102</f>
        <v>127109.38835834315</v>
      </c>
      <c r="H103" s="21">
        <f t="shared" ref="H103:H122" si="28">(G103+C103)*F103</f>
        <v>48477.406176555109</v>
      </c>
      <c r="I103" s="21">
        <f t="shared" ref="I103:I122" si="29">G103+C103+H103</f>
        <v>304087.79453489825</v>
      </c>
      <c r="J103" s="23">
        <f>J102+C103</f>
        <v>243501</v>
      </c>
      <c r="K103" s="22">
        <f t="shared" ref="K103:K122" si="30">IFERROR((I103-J103)/J103,"")</f>
        <v>0.24881538283168547</v>
      </c>
      <c r="L103" s="22">
        <f>IFERROR((1+K103)/VLOOKUP(B103,'Исходные данные'!$A$4:$G$24,6,FALSE)-1,"")</f>
        <v>7.6712489739925172E-3</v>
      </c>
      <c r="M103" s="20">
        <f t="shared" ref="M103:M122" si="31">IFERROR((I103/J103)^(1/(B103-$B$102+1))-1,"")</f>
        <v>0.11750408627068798</v>
      </c>
    </row>
    <row r="104" spans="1:14" x14ac:dyDescent="0.25">
      <c r="A104" s="27" t="s">
        <v>42</v>
      </c>
      <c r="B104" s="25">
        <f>'Исходные данные'!$A6</f>
        <v>2006</v>
      </c>
      <c r="C104" s="39">
        <f>IF(AND(Таблица12[[#This Row],[Год]]&gt;=Настройки!$B$4, Таблица12[[#This Row],[Год]]&lt;=Настройки!$B$5),IFERROR(VLOOKUP(Таблица12[[#This Row],[Год]],Данные[#All],9,FALSE),0),0)</f>
        <v>142520.45910000001</v>
      </c>
      <c r="D104" s="19">
        <f>VLOOKUP($A$102,Настройки!$L$2:$N$13,2,FALSE)</f>
        <v>0.1</v>
      </c>
      <c r="E104" s="19">
        <f>VLOOKUP($A$102,Настройки!$L$2:$N$13,3,FALSE)</f>
        <v>0.9</v>
      </c>
      <c r="F104" s="20">
        <f>D104*VLOOKUP(B104,'Исходные данные'!$A$4:$G$24,2,FALSE)+E104*VLOOKUP(B104,'Исходные данные'!$A$4:$G$24,3,FALSE)+(1-D104-E104)*VLOOKUP(B104,'Исходные данные'!$A$4:$G$24,4,FALSE)</f>
        <v>0.13161135489024678</v>
      </c>
      <c r="G104" s="40">
        <f>I103</f>
        <v>304087.79453489825</v>
      </c>
      <c r="H104" s="21">
        <f t="shared" si="28"/>
        <v>58778.717366055935</v>
      </c>
      <c r="I104" s="21">
        <f t="shared" si="29"/>
        <v>505386.97100095416</v>
      </c>
      <c r="J104" s="23">
        <f t="shared" ref="J104:J122" si="32">J103+C104</f>
        <v>386021.45909999998</v>
      </c>
      <c r="K104" s="22">
        <f t="shared" si="30"/>
        <v>0.30921988684062302</v>
      </c>
      <c r="L104" s="22">
        <f>IFERROR((1+K104)/VLOOKUP(B104,'Исходные данные'!$A$4:$G$24,6,FALSE)-1,"")</f>
        <v>-3.081491226057298E-2</v>
      </c>
      <c r="M104" s="20">
        <f t="shared" si="31"/>
        <v>9.3966940403318988E-2</v>
      </c>
    </row>
    <row r="105" spans="1:14" x14ac:dyDescent="0.25">
      <c r="A105" s="27" t="s">
        <v>42</v>
      </c>
      <c r="B105" s="25">
        <f>'Исходные данные'!$A7</f>
        <v>2007</v>
      </c>
      <c r="C105" s="39">
        <f>IF(AND(Таблица12[[#This Row],[Год]]&gt;=Настройки!$B$4, Таблица12[[#This Row],[Год]]&lt;=Настройки!$B$5),IFERROR(VLOOKUP(Таблица12[[#This Row],[Год]],Данные[#All],9,FALSE),0),0)</f>
        <v>155347.30041900001</v>
      </c>
      <c r="D105" s="19">
        <f>VLOOKUP($A$102,Настройки!$L$2:$N$13,2,FALSE)</f>
        <v>0.1</v>
      </c>
      <c r="E105" s="19">
        <f>VLOOKUP($A$102,Настройки!$L$2:$N$13,3,FALSE)</f>
        <v>0.9</v>
      </c>
      <c r="F105" s="20">
        <f>D105*VLOOKUP(B105,'Исходные данные'!$A$4:$G$24,2,FALSE)+E105*VLOOKUP(B105,'Исходные данные'!$A$4:$G$24,3,FALSE)+(1-D105-E105)*VLOOKUP(B105,'Исходные данные'!$A$4:$G$24,4,FALSE)</f>
        <v>7.9276381667083978E-2</v>
      </c>
      <c r="G105" s="40">
        <f t="shared" ref="G105:G122" si="33">I104</f>
        <v>505386.97100095416</v>
      </c>
      <c r="H105" s="21">
        <f t="shared" si="28"/>
        <v>52380.622281610944</v>
      </c>
      <c r="I105" s="21">
        <f t="shared" si="29"/>
        <v>713114.8937015651</v>
      </c>
      <c r="J105" s="23">
        <f t="shared" si="32"/>
        <v>541368.75951899996</v>
      </c>
      <c r="K105" s="22">
        <f t="shared" si="30"/>
        <v>0.31724426495381752</v>
      </c>
      <c r="L105" s="22">
        <f>IFERROR((1+K105)/VLOOKUP(B105,'Исходные данные'!$A$4:$G$24,6,FALSE)-1,"")</f>
        <v>-0.12834061985798662</v>
      </c>
      <c r="M105" s="20">
        <f t="shared" si="31"/>
        <v>7.1313503593926963E-2</v>
      </c>
    </row>
    <row r="106" spans="1:14" x14ac:dyDescent="0.25">
      <c r="A106" s="27" t="s">
        <v>42</v>
      </c>
      <c r="B106" s="25">
        <f>'Исходные данные'!$A8</f>
        <v>2008</v>
      </c>
      <c r="C106" s="39">
        <f>IF(AND(Таблица12[[#This Row],[Год]]&gt;=Настройки!$B$4, Таблица12[[#This Row],[Год]]&lt;=Настройки!$B$5),IFERROR(VLOOKUP(Таблица12[[#This Row],[Год]],Данные[#All],9,FALSE),0),0)</f>
        <v>173787.02497873531</v>
      </c>
      <c r="D106" s="19">
        <f>VLOOKUP($A$102,Настройки!$L$2:$N$13,2,FALSE)</f>
        <v>0.1</v>
      </c>
      <c r="E106" s="19">
        <f>VLOOKUP($A$102,Настройки!$L$2:$N$13,3,FALSE)</f>
        <v>0.9</v>
      </c>
      <c r="F106" s="20">
        <f>D106*VLOOKUP(B106,'Исходные данные'!$A$4:$G$24,2,FALSE)+E106*VLOOKUP(B106,'Исходные данные'!$A$4:$G$24,3,FALSE)+(1-D106-E106)*VLOOKUP(B106,'Исходные данные'!$A$4:$G$24,4,FALSE)</f>
        <v>-0.11659193161626047</v>
      </c>
      <c r="G106" s="40">
        <f t="shared" si="33"/>
        <v>713114.8937015651</v>
      </c>
      <c r="H106" s="21">
        <f t="shared" si="28"/>
        <v>-103405.60785310379</v>
      </c>
      <c r="I106" s="21">
        <f t="shared" si="29"/>
        <v>783496.31082719669</v>
      </c>
      <c r="J106" s="23">
        <f t="shared" si="32"/>
        <v>715155.78449773532</v>
      </c>
      <c r="K106" s="22">
        <f t="shared" si="30"/>
        <v>9.5560334979962372E-2</v>
      </c>
      <c r="L106" s="22">
        <f>IFERROR((1+K106)/VLOOKUP(B106,'Исходные данные'!$A$4:$G$24,6,FALSE)-1,"")</f>
        <v>-0.36002420068520602</v>
      </c>
      <c r="M106" s="20">
        <f t="shared" si="31"/>
        <v>1.8420798490713208E-2</v>
      </c>
    </row>
    <row r="107" spans="1:14" x14ac:dyDescent="0.25">
      <c r="A107" s="27" t="s">
        <v>42</v>
      </c>
      <c r="B107" s="25">
        <f>'Исходные данные'!$A9</f>
        <v>2009</v>
      </c>
      <c r="C107" s="39">
        <f>IF(AND(Таблица12[[#This Row],[Год]]&gt;=Настройки!$B$4, Таблица12[[#This Row],[Год]]&lt;=Настройки!$B$5),IFERROR(VLOOKUP(Таблица12[[#This Row],[Год]],Данные[#All],9,FALSE),0),0)</f>
        <v>196865.94189591135</v>
      </c>
      <c r="D107" s="19">
        <f>VLOOKUP($A$102,Настройки!$L$2:$N$13,2,FALSE)</f>
        <v>0.1</v>
      </c>
      <c r="E107" s="19">
        <f>VLOOKUP($A$102,Настройки!$L$2:$N$13,3,FALSE)</f>
        <v>0.9</v>
      </c>
      <c r="F107" s="20">
        <f>D107*VLOOKUP(B107,'Исходные данные'!$A$4:$G$24,2,FALSE)+E107*VLOOKUP(B107,'Исходные данные'!$A$4:$G$24,3,FALSE)+(1-D107-E107)*VLOOKUP(B107,'Исходные данные'!$A$4:$G$24,4,FALSE)</f>
        <v>0.44406465745628093</v>
      </c>
      <c r="G107" s="40">
        <f t="shared" si="33"/>
        <v>783496.31082719669</v>
      </c>
      <c r="H107" s="21">
        <f t="shared" si="28"/>
        <v>435344.22793855489</v>
      </c>
      <c r="I107" s="21">
        <f t="shared" si="29"/>
        <v>1415706.480661663</v>
      </c>
      <c r="J107" s="23">
        <f>J106+C107</f>
        <v>912021.72639364668</v>
      </c>
      <c r="K107" s="22">
        <f t="shared" si="30"/>
        <v>0.55227275808407217</v>
      </c>
      <c r="L107" s="22">
        <f>IFERROR((1+K107)/VLOOKUP(B107,'Исходные данные'!$A$4:$G$24,6,FALSE)-1,"")</f>
        <v>-0.16657525321378119</v>
      </c>
      <c r="M107" s="20">
        <f t="shared" si="31"/>
        <v>7.6038984557447398E-2</v>
      </c>
    </row>
    <row r="108" spans="1:14" x14ac:dyDescent="0.25">
      <c r="A108" s="27" t="s">
        <v>42</v>
      </c>
      <c r="B108" s="25">
        <f>'Исходные данные'!$A10</f>
        <v>2010</v>
      </c>
      <c r="C108" s="39">
        <f>IF(AND(Таблица12[[#This Row],[Год]]&gt;=Настройки!$B$4, Таблица12[[#This Row],[Год]]&lt;=Настройки!$B$5),IFERROR(VLOOKUP(Таблица12[[#This Row],[Год]],Данные[#All],9,FALSE),0),0)</f>
        <v>214190.14478275157</v>
      </c>
      <c r="D108" s="19">
        <f>VLOOKUP($A$102,Настройки!$L$2:$N$13,2,FALSE)</f>
        <v>0.1</v>
      </c>
      <c r="E108" s="19">
        <f>VLOOKUP($A$102,Настройки!$L$2:$N$13,3,FALSE)</f>
        <v>0.9</v>
      </c>
      <c r="F108" s="20">
        <f>D108*VLOOKUP(B108,'Исходные данные'!$A$4:$G$24,2,FALSE)+E108*VLOOKUP(B108,'Исходные данные'!$A$4:$G$24,3,FALSE)+(1-D108-E108)*VLOOKUP(B108,'Исходные данные'!$A$4:$G$24,4,FALSE)</f>
        <v>0.12561230459676678</v>
      </c>
      <c r="G108" s="40">
        <f t="shared" si="33"/>
        <v>1415706.480661663</v>
      </c>
      <c r="H108" s="21">
        <f t="shared" si="28"/>
        <v>204735.07137656611</v>
      </c>
      <c r="I108" s="21">
        <f t="shared" si="29"/>
        <v>1834631.6968209806</v>
      </c>
      <c r="J108" s="23">
        <f t="shared" si="32"/>
        <v>1126211.8711763984</v>
      </c>
      <c r="K108" s="22">
        <f t="shared" si="30"/>
        <v>0.62902890990182314</v>
      </c>
      <c r="L108" s="22">
        <f>IFERROR((1+K108)/VLOOKUP(B108,'Исходные данные'!$A$4:$G$24,6,FALSE)-1,"")</f>
        <v>-0.19595918864110395</v>
      </c>
      <c r="M108" s="20">
        <f t="shared" si="31"/>
        <v>7.2199355088307993E-2</v>
      </c>
    </row>
    <row r="109" spans="1:14" x14ac:dyDescent="0.25">
      <c r="A109" s="27" t="s">
        <v>42</v>
      </c>
      <c r="B109" s="25">
        <f>'Исходные данные'!$A11</f>
        <v>2011</v>
      </c>
      <c r="C109" s="39">
        <f>IF(AND(Таблица12[[#This Row],[Год]]&gt;=Настройки!$B$4, Таблица12[[#This Row],[Год]]&lt;=Настройки!$B$5),IFERROR(VLOOKUP(Таблица12[[#This Row],[Год]],Данные[#All],9,FALSE),0),0)</f>
        <v>232996.03949467718</v>
      </c>
      <c r="D109" s="19">
        <f>VLOOKUP($A$102,Настройки!$L$2:$N$13,2,FALSE)</f>
        <v>0.1</v>
      </c>
      <c r="E109" s="19">
        <f>VLOOKUP($A$102,Настройки!$L$2:$N$13,3,FALSE)</f>
        <v>0.9</v>
      </c>
      <c r="F109" s="20">
        <f>D109*VLOOKUP(B109,'Исходные данные'!$A$4:$G$24,2,FALSE)+E109*VLOOKUP(B109,'Исходные данные'!$A$4:$G$24,3,FALSE)+(1-D109-E109)*VLOOKUP(B109,'Исходные данные'!$A$4:$G$24,4,FALSE)</f>
        <v>3.769330560949638E-2</v>
      </c>
      <c r="G109" s="40">
        <f t="shared" si="33"/>
        <v>1834631.6968209806</v>
      </c>
      <c r="H109" s="21">
        <f t="shared" si="28"/>
        <v>77935.724151617294</v>
      </c>
      <c r="I109" s="21">
        <f t="shared" si="29"/>
        <v>2145563.4604672752</v>
      </c>
      <c r="J109" s="23">
        <f t="shared" si="32"/>
        <v>1359207.9106710756</v>
      </c>
      <c r="K109" s="22">
        <f t="shared" si="30"/>
        <v>0.57853956236022486</v>
      </c>
      <c r="L109" s="22">
        <f>IFERROR((1+K109)/VLOOKUP(B109,'Исходные данные'!$A$4:$G$24,6,FALSE)-1,"")</f>
        <v>-0.26567318311207699</v>
      </c>
      <c r="M109" s="20">
        <f t="shared" si="31"/>
        <v>5.8721990621993347E-2</v>
      </c>
    </row>
    <row r="110" spans="1:14" x14ac:dyDescent="0.25">
      <c r="A110" s="27" t="s">
        <v>42</v>
      </c>
      <c r="B110" s="25">
        <f>'Исходные данные'!$A12</f>
        <v>2012</v>
      </c>
      <c r="C110" s="39">
        <f>IF(AND(Таблица12[[#This Row],[Год]]&gt;=Настройки!$B$4, Таблица12[[#This Row],[Год]]&lt;=Настройки!$B$5),IFERROR(VLOOKUP(Таблица12[[#This Row],[Год]],Данные[#All],9,FALSE),0),0)</f>
        <v>247208.79790385248</v>
      </c>
      <c r="D110" s="19">
        <f>VLOOKUP($A$102,Настройки!$L$2:$N$13,2,FALSE)</f>
        <v>0.1</v>
      </c>
      <c r="E110" s="19">
        <f>VLOOKUP($A$102,Настройки!$L$2:$N$13,3,FALSE)</f>
        <v>0.9</v>
      </c>
      <c r="F110" s="20">
        <f>D110*VLOOKUP(B110,'Исходные данные'!$A$4:$G$24,2,FALSE)+E110*VLOOKUP(B110,'Исходные данные'!$A$4:$G$24,3,FALSE)+(1-D110-E110)*VLOOKUP(B110,'Исходные данные'!$A$4:$G$24,4,FALSE)</f>
        <v>0.14057871546741676</v>
      </c>
      <c r="G110" s="40">
        <f t="shared" si="33"/>
        <v>2145563.4604672752</v>
      </c>
      <c r="H110" s="21">
        <f t="shared" si="28"/>
        <v>336372.85048788303</v>
      </c>
      <c r="I110" s="21">
        <f t="shared" si="29"/>
        <v>2729145.108859011</v>
      </c>
      <c r="J110" s="23">
        <f t="shared" si="32"/>
        <v>1606416.7085749281</v>
      </c>
      <c r="K110" s="22">
        <f t="shared" si="30"/>
        <v>0.69890234226962755</v>
      </c>
      <c r="L110" s="22">
        <f>IFERROR((1+K110)/VLOOKUP(B110,'Исходные данные'!$A$4:$G$24,6,FALSE)-1,"")</f>
        <v>-0.25847360123047136</v>
      </c>
      <c r="M110" s="20">
        <f t="shared" si="31"/>
        <v>6.0655304662915466E-2</v>
      </c>
    </row>
    <row r="111" spans="1:14" x14ac:dyDescent="0.25">
      <c r="A111" s="27" t="s">
        <v>42</v>
      </c>
      <c r="B111" s="25">
        <f>'Исходные данные'!$A13</f>
        <v>2013</v>
      </c>
      <c r="C111" s="39">
        <f>IF(AND(Таблица12[[#This Row],[Год]]&gt;=Настройки!$B$4, Таблица12[[#This Row],[Год]]&lt;=Настройки!$B$5),IFERROR(VLOOKUP(Таблица12[[#This Row],[Год]],Данные[#All],9,FALSE),0),0)</f>
        <v>263475.13680592598</v>
      </c>
      <c r="D111" s="19">
        <f>VLOOKUP($A$102,Настройки!$L$2:$N$13,2,FALSE)</f>
        <v>0.1</v>
      </c>
      <c r="E111" s="19">
        <f>VLOOKUP($A$102,Настройки!$L$2:$N$13,3,FALSE)</f>
        <v>0.9</v>
      </c>
      <c r="F111" s="20">
        <f>D111*VLOOKUP(B111,'Исходные данные'!$A$4:$G$24,2,FALSE)+E111*VLOOKUP(B111,'Исходные данные'!$A$4:$G$24,3,FALSE)+(1-D111-E111)*VLOOKUP(B111,'Исходные данные'!$A$4:$G$24,4,FALSE)</f>
        <v>4.0533033344094978E-2</v>
      </c>
      <c r="G111" s="40">
        <f t="shared" si="33"/>
        <v>2729145.108859011</v>
      </c>
      <c r="H111" s="21">
        <f t="shared" si="28"/>
        <v>121299.9762037506</v>
      </c>
      <c r="I111" s="21">
        <f t="shared" si="29"/>
        <v>3113920.2218686878</v>
      </c>
      <c r="J111" s="23">
        <f t="shared" si="32"/>
        <v>1869891.8453808541</v>
      </c>
      <c r="K111" s="22">
        <f t="shared" si="30"/>
        <v>0.66529429472668433</v>
      </c>
      <c r="L111" s="22">
        <f>IFERROR((1+K111)/VLOOKUP(B111,'Исходные данные'!$A$4:$G$24,6,FALSE)-1,"")</f>
        <v>-0.3171842500668236</v>
      </c>
      <c r="M111" s="20">
        <f t="shared" si="31"/>
        <v>5.232308916291406E-2</v>
      </c>
    </row>
    <row r="112" spans="1:14" x14ac:dyDescent="0.25">
      <c r="A112" s="27" t="s">
        <v>42</v>
      </c>
      <c r="B112" s="25">
        <f>'Исходные данные'!$A14</f>
        <v>2014</v>
      </c>
      <c r="C112" s="39">
        <f>IF(AND(Таблица12[[#This Row],[Год]]&gt;=Настройки!$B$4, Таблица12[[#This Row],[Год]]&lt;=Настройки!$B$5),IFERROR(VLOOKUP(Таблица12[[#This Row],[Год]],Данные[#All],9,FALSE),0),0)</f>
        <v>280469.2831299082</v>
      </c>
      <c r="D112" s="19">
        <f>VLOOKUP($A$102,Настройки!$L$2:$N$13,2,FALSE)</f>
        <v>0.1</v>
      </c>
      <c r="E112" s="19">
        <f>VLOOKUP($A$102,Настройки!$L$2:$N$13,3,FALSE)</f>
        <v>0.9</v>
      </c>
      <c r="F112" s="20">
        <f>D112*VLOOKUP(B112,'Исходные данные'!$A$4:$G$24,2,FALSE)+E112*VLOOKUP(B112,'Исходные данные'!$A$4:$G$24,3,FALSE)+(1-D112-E112)*VLOOKUP(B112,'Исходные данные'!$A$4:$G$24,4,FALSE)</f>
        <v>-0.13104146628630076</v>
      </c>
      <c r="G112" s="40">
        <f t="shared" si="33"/>
        <v>3113920.2218686878</v>
      </c>
      <c r="H112" s="21">
        <f t="shared" si="28"/>
        <v>-444805.77788184665</v>
      </c>
      <c r="I112" s="21">
        <f t="shared" si="29"/>
        <v>2949583.7271167492</v>
      </c>
      <c r="J112" s="23">
        <f t="shared" si="32"/>
        <v>2150361.1285107625</v>
      </c>
      <c r="K112" s="22">
        <f t="shared" si="30"/>
        <v>0.37166901317616829</v>
      </c>
      <c r="L112" s="22">
        <f>IFERROR((1+K112)/VLOOKUP(B112,'Исходные данные'!$A$4:$G$24,6,FALSE)-1,"")</f>
        <v>-0.49495201654797272</v>
      </c>
      <c r="M112" s="20">
        <f t="shared" si="31"/>
        <v>2.9146524202129376E-2</v>
      </c>
    </row>
    <row r="113" spans="1:14" x14ac:dyDescent="0.25">
      <c r="A113" s="27" t="s">
        <v>42</v>
      </c>
      <c r="B113" s="25">
        <f>'Исходные данные'!$A15</f>
        <v>2015</v>
      </c>
      <c r="C113" s="39">
        <f>IF(AND(Таблица12[[#This Row],[Год]]&gt;=Настройки!$B$4, Таблица12[[#This Row],[Год]]&lt;=Настройки!$B$5),IFERROR(VLOOKUP(Таблица12[[#This Row],[Год]],Данные[#All],9,FALSE),0),0)</f>
        <v>312330.59369346575</v>
      </c>
      <c r="D113" s="19">
        <f>VLOOKUP($A$102,Настройки!$L$2:$N$13,2,FALSE)</f>
        <v>0.1</v>
      </c>
      <c r="E113" s="19">
        <f>VLOOKUP($A$102,Настройки!$L$2:$N$13,3,FALSE)</f>
        <v>0.9</v>
      </c>
      <c r="F113" s="20">
        <f>D113*VLOOKUP(B113,'Исходные данные'!$A$4:$G$24,2,FALSE)+E113*VLOOKUP(B113,'Исходные данные'!$A$4:$G$24,3,FALSE)+(1-D113-E113)*VLOOKUP(B113,'Исходные данные'!$A$4:$G$24,4,FALSE)</f>
        <v>0.29827416122490003</v>
      </c>
      <c r="G113" s="40">
        <f t="shared" si="33"/>
        <v>2949583.7271167492</v>
      </c>
      <c r="H113" s="21">
        <f t="shared" si="28"/>
        <v>972944.75802715635</v>
      </c>
      <c r="I113" s="21">
        <f t="shared" si="29"/>
        <v>4234859.0788373714</v>
      </c>
      <c r="J113" s="23">
        <f t="shared" si="32"/>
        <v>2462691.7222042284</v>
      </c>
      <c r="K113" s="22">
        <f t="shared" si="30"/>
        <v>0.71960584455409116</v>
      </c>
      <c r="L113" s="22">
        <f>IFERROR((1+K113)/VLOOKUP(B113,'Исходные данные'!$A$4:$G$24,6,FALSE)-1,"")</f>
        <v>-0.43923639539185155</v>
      </c>
      <c r="M113" s="20">
        <f t="shared" si="31"/>
        <v>4.6210503985185669E-2</v>
      </c>
    </row>
    <row r="114" spans="1:14" x14ac:dyDescent="0.25">
      <c r="A114" s="27" t="s">
        <v>42</v>
      </c>
      <c r="B114" s="25">
        <f>'Исходные данные'!$A16</f>
        <v>2016</v>
      </c>
      <c r="C114" s="39">
        <f>IF(AND(Таблица12[[#This Row],[Год]]&gt;=Настройки!$B$4, Таблица12[[#This Row],[Год]]&lt;=Настройки!$B$5),IFERROR(VLOOKUP(Таблица12[[#This Row],[Год]],Данные[#All],9,FALSE),0),0)</f>
        <v>352652.47333929216</v>
      </c>
      <c r="D114" s="19">
        <f>VLOOKUP($A$102,Настройки!$L$2:$N$13,2,FALSE)</f>
        <v>0.1</v>
      </c>
      <c r="E114" s="19">
        <f>VLOOKUP($A$102,Настройки!$L$2:$N$13,3,FALSE)</f>
        <v>0.9</v>
      </c>
      <c r="F114" s="20">
        <f>D114*VLOOKUP(B114,'Исходные данные'!$A$4:$G$24,2,FALSE)+E114*VLOOKUP(B114,'Исходные данные'!$A$4:$G$24,3,FALSE)+(1-D114-E114)*VLOOKUP(B114,'Исходные данные'!$A$4:$G$24,4,FALSE)</f>
        <v>0.16668465611240343</v>
      </c>
      <c r="G114" s="40">
        <f t="shared" si="33"/>
        <v>4234859.0788373714</v>
      </c>
      <c r="H114" s="21">
        <f t="shared" si="28"/>
        <v>764667.7854862453</v>
      </c>
      <c r="I114" s="21">
        <f t="shared" si="29"/>
        <v>5352179.3376629092</v>
      </c>
      <c r="J114" s="23">
        <f t="shared" si="32"/>
        <v>2815344.1955435206</v>
      </c>
      <c r="K114" s="22">
        <f t="shared" si="30"/>
        <v>0.90107459902594111</v>
      </c>
      <c r="L114" s="22">
        <f>IFERROR((1+K114)/VLOOKUP(B114,'Исходные данные'!$A$4:$G$24,6,FALSE)-1,"")</f>
        <v>-0.41170945143458948</v>
      </c>
      <c r="M114" s="20">
        <f t="shared" si="31"/>
        <v>5.0658246938191986E-2</v>
      </c>
    </row>
    <row r="115" spans="1:14" x14ac:dyDescent="0.25">
      <c r="A115" s="27" t="s">
        <v>42</v>
      </c>
      <c r="B115" s="25">
        <f>'Исходные данные'!$A17</f>
        <v>2017</v>
      </c>
      <c r="C115" s="39">
        <f>IF(AND(Таблица12[[#This Row],[Год]]&gt;=Настройки!$B$4, Таблица12[[#This Row],[Год]]&lt;=Настройки!$B$5),IFERROR(VLOOKUP(Таблица12[[#This Row],[Год]],Данные[#All],9,FALSE),0),0)</f>
        <v>371625.17640494613</v>
      </c>
      <c r="D115" s="19">
        <f>VLOOKUP($A$102,Настройки!$L$2:$N$13,2,FALSE)</f>
        <v>0.1</v>
      </c>
      <c r="E115" s="19">
        <f>VLOOKUP($A$102,Настройки!$L$2:$N$13,3,FALSE)</f>
        <v>0.9</v>
      </c>
      <c r="F115" s="20">
        <f>D115*VLOOKUP(B115,'Исходные данные'!$A$4:$G$24,2,FALSE)+E115*VLOOKUP(B115,'Исходные данные'!$A$4:$G$24,3,FALSE)+(1-D115-E115)*VLOOKUP(B115,'Исходные данные'!$A$4:$G$24,4,FALSE)</f>
        <v>0.11446186058097423</v>
      </c>
      <c r="G115" s="40">
        <f t="shared" si="33"/>
        <v>5352179.3376629092</v>
      </c>
      <c r="H115" s="21">
        <f t="shared" si="28"/>
        <v>655157.31428198586</v>
      </c>
      <c r="I115" s="21">
        <f t="shared" si="29"/>
        <v>6378961.8283498418</v>
      </c>
      <c r="J115" s="23">
        <f t="shared" si="32"/>
        <v>3186969.3719484666</v>
      </c>
      <c r="K115" s="22">
        <f t="shared" si="30"/>
        <v>1.0015761320134173</v>
      </c>
      <c r="L115" s="22">
        <f>IFERROR((1+K115)/VLOOKUP(B115,'Исходные данные'!$A$4:$G$24,6,FALSE)-1,"")</f>
        <v>-0.39583407405386062</v>
      </c>
      <c r="M115" s="20">
        <f t="shared" si="31"/>
        <v>5.0815764564831056E-2</v>
      </c>
    </row>
    <row r="116" spans="1:14" x14ac:dyDescent="0.25">
      <c r="A116" s="27" t="s">
        <v>42</v>
      </c>
      <c r="B116" s="25">
        <f>'Исходные данные'!$A18</f>
        <v>2018</v>
      </c>
      <c r="C116" s="39">
        <f>IF(AND(Таблица12[[#This Row],[Год]]&gt;=Настройки!$B$4, Таблица12[[#This Row],[Год]]&lt;=Настройки!$B$5),IFERROR(VLOOKUP(Таблица12[[#This Row],[Год]],Данные[#All],9,FALSE),0),0)</f>
        <v>380990.13085035072</v>
      </c>
      <c r="D116" s="19">
        <f>VLOOKUP($A$102,Настройки!$L$2:$N$13,2,FALSE)</f>
        <v>0.1</v>
      </c>
      <c r="E116" s="19">
        <f>VLOOKUP($A$102,Настройки!$L$2:$N$13,3,FALSE)</f>
        <v>0.9</v>
      </c>
      <c r="F116" s="20">
        <f>D116*VLOOKUP(B116,'Исходные данные'!$A$4:$G$24,2,FALSE)+E116*VLOOKUP(B116,'Исходные данные'!$A$4:$G$24,3,FALSE)+(1-D116-E116)*VLOOKUP(B116,'Исходные данные'!$A$4:$G$24,4,FALSE)</f>
        <v>3.818549214059206E-2</v>
      </c>
      <c r="G116" s="40">
        <f t="shared" si="33"/>
        <v>6378961.8283498418</v>
      </c>
      <c r="H116" s="21">
        <f t="shared" si="28"/>
        <v>258132.09240881883</v>
      </c>
      <c r="I116" s="21">
        <f t="shared" si="29"/>
        <v>7018084.0516090114</v>
      </c>
      <c r="J116" s="23">
        <f t="shared" si="32"/>
        <v>3567959.5027988171</v>
      </c>
      <c r="K116" s="22">
        <f t="shared" si="30"/>
        <v>0.966974133563963</v>
      </c>
      <c r="L116" s="22">
        <f>IFERROR((1+K116)/VLOOKUP(B116,'Исходные данные'!$A$4:$G$24,6,FALSE)-1,"")</f>
        <v>-0.43059222917381135</v>
      </c>
      <c r="M116" s="20">
        <f t="shared" si="31"/>
        <v>4.6132216094757705E-2</v>
      </c>
    </row>
    <row r="117" spans="1:14" x14ac:dyDescent="0.25">
      <c r="A117" s="27" t="s">
        <v>42</v>
      </c>
      <c r="B117" s="25">
        <f>'Исходные данные'!$A19</f>
        <v>2019</v>
      </c>
      <c r="C117" s="39">
        <f>IF(AND(Таблица12[[#This Row],[Год]]&gt;=Настройки!$B$4, Таблица12[[#This Row],[Год]]&lt;=Настройки!$B$5),IFERROR(VLOOKUP(Таблица12[[#This Row],[Год]],Данные[#All],9,FALSE),0),0)</f>
        <v>397258.40943766065</v>
      </c>
      <c r="D117" s="19">
        <f>VLOOKUP($A$102,Настройки!$L$2:$N$13,2,FALSE)</f>
        <v>0.1</v>
      </c>
      <c r="E117" s="19">
        <f>VLOOKUP($A$102,Настройки!$L$2:$N$13,3,FALSE)</f>
        <v>0.9</v>
      </c>
      <c r="F117" s="20">
        <f>D117*VLOOKUP(B117,'Исходные данные'!$A$4:$G$24,2,FALSE)+E117*VLOOKUP(B117,'Исходные данные'!$A$4:$G$24,3,FALSE)+(1-D117-E117)*VLOOKUP(B117,'Исходные данные'!$A$4:$G$24,4,FALSE)</f>
        <v>0.21837898389188481</v>
      </c>
      <c r="G117" s="40">
        <f t="shared" si="33"/>
        <v>7018084.0516090114</v>
      </c>
      <c r="H117" s="21">
        <f t="shared" si="28"/>
        <v>1619354.9518537207</v>
      </c>
      <c r="I117" s="21">
        <f t="shared" si="29"/>
        <v>9034697.4129003938</v>
      </c>
      <c r="J117" s="23">
        <f t="shared" si="32"/>
        <v>3965217.9122364777</v>
      </c>
      <c r="K117" s="22">
        <f t="shared" si="30"/>
        <v>1.2784869868109237</v>
      </c>
      <c r="L117" s="22">
        <f>IFERROR((1+K117)/VLOOKUP(B117,'Исходные данные'!$A$4:$G$24,6,FALSE)-1,"")</f>
        <v>-0.35993615314985294</v>
      </c>
      <c r="M117" s="20">
        <f t="shared" si="31"/>
        <v>5.2817049904159585E-2</v>
      </c>
    </row>
    <row r="118" spans="1:14" x14ac:dyDescent="0.25">
      <c r="A118" s="27" t="s">
        <v>42</v>
      </c>
      <c r="B118" s="25">
        <f>'Исходные данные'!$A20</f>
        <v>2020</v>
      </c>
      <c r="C118" s="39">
        <f>IF(AND(Таблица12[[#This Row],[Год]]&gt;=Настройки!$B$4, Таблица12[[#This Row],[Год]]&lt;=Настройки!$B$5),IFERROR(VLOOKUP(Таблица12[[#This Row],[Год]],Данные[#All],9,FALSE),0),0)</f>
        <v>409374.7909255093</v>
      </c>
      <c r="D118" s="19">
        <f>VLOOKUP($A$102,Настройки!$L$2:$N$13,2,FALSE)</f>
        <v>0.1</v>
      </c>
      <c r="E118" s="19">
        <f>VLOOKUP($A$102,Настройки!$L$2:$N$13,3,FALSE)</f>
        <v>0.9</v>
      </c>
      <c r="F118" s="20">
        <f>D118*VLOOKUP(B118,'Исходные данные'!$A$4:$G$24,2,FALSE)+E118*VLOOKUP(B118,'Исходные данные'!$A$4:$G$24,3,FALSE)+(1-D118-E118)*VLOOKUP(B118,'Исходные данные'!$A$4:$G$24,4,FALSE)</f>
        <v>9.1689200541161808E-2</v>
      </c>
      <c r="G118" s="40">
        <f t="shared" si="33"/>
        <v>9034697.4129003938</v>
      </c>
      <c r="H118" s="21">
        <f t="shared" si="28"/>
        <v>865919.43022180512</v>
      </c>
      <c r="I118" s="21">
        <f t="shared" si="29"/>
        <v>10309991.634047708</v>
      </c>
      <c r="J118" s="23">
        <f t="shared" si="32"/>
        <v>4374592.7031619865</v>
      </c>
      <c r="K118" s="22">
        <f t="shared" si="30"/>
        <v>1.3567889249656482</v>
      </c>
      <c r="L118" s="22">
        <f>IFERROR((1+K118)/VLOOKUP(B118,'Исходные данные'!$A$4:$G$24,6,FALSE)-1,"")</f>
        <v>-0.36892562412203034</v>
      </c>
      <c r="M118" s="20">
        <f t="shared" si="31"/>
        <v>5.1722625668815692E-2</v>
      </c>
    </row>
    <row r="119" spans="1:14" x14ac:dyDescent="0.25">
      <c r="A119" s="27" t="s">
        <v>42</v>
      </c>
      <c r="B119" s="25">
        <f>'Исходные данные'!$A21</f>
        <v>2021</v>
      </c>
      <c r="C119" s="39">
        <f>IF(AND(Таблица12[[#This Row],[Год]]&gt;=Настройки!$B$4, Таблица12[[#This Row],[Год]]&lt;=Настройки!$B$5),IFERROR(VLOOKUP(Таблица12[[#This Row],[Год]],Данные[#All],9,FALSE),0),0)</f>
        <v>429475.09315995179</v>
      </c>
      <c r="D119" s="19">
        <f>VLOOKUP($A$102,Настройки!$L$2:$N$13,2,FALSE)</f>
        <v>0.1</v>
      </c>
      <c r="E119" s="19">
        <f>VLOOKUP($A$102,Настройки!$L$2:$N$13,3,FALSE)</f>
        <v>0.9</v>
      </c>
      <c r="F119" s="20">
        <f>D119*VLOOKUP(B119,'Исходные данные'!$A$4:$G$24,2,FALSE)+E119*VLOOKUP(B119,'Исходные данные'!$A$4:$G$24,3,FALSE)+(1-D119-E119)*VLOOKUP(B119,'Исходные данные'!$A$4:$G$24,4,FALSE)</f>
        <v>-2.3580807591553187E-2</v>
      </c>
      <c r="G119" s="40">
        <f t="shared" si="33"/>
        <v>10309991.634047708</v>
      </c>
      <c r="H119" s="21">
        <f t="shared" si="28"/>
        <v>-253245.29853017122</v>
      </c>
      <c r="I119" s="21">
        <f t="shared" si="29"/>
        <v>10486221.428677488</v>
      </c>
      <c r="J119" s="23">
        <f t="shared" si="32"/>
        <v>4804067.7963219387</v>
      </c>
      <c r="K119" s="22">
        <f t="shared" si="30"/>
        <v>1.182779651175174</v>
      </c>
      <c r="L119" s="22">
        <f>IFERROR((1+K119)/VLOOKUP(B119,'Исходные данные'!$A$4:$G$24,6,FALSE)-1,"")</f>
        <v>-0.46076193953957445</v>
      </c>
      <c r="M119" s="20">
        <f t="shared" si="31"/>
        <v>4.4320692016032615E-2</v>
      </c>
    </row>
    <row r="120" spans="1:14" x14ac:dyDescent="0.25">
      <c r="A120" s="27" t="s">
        <v>42</v>
      </c>
      <c r="B120" s="25">
        <f>'Исходные данные'!$A22</f>
        <v>2022</v>
      </c>
      <c r="C120" s="39">
        <f>IF(AND(Таблица12[[#This Row],[Год]]&gt;=Настройки!$B$4, Таблица12[[#This Row],[Год]]&lt;=Настройки!$B$5),IFERROR(VLOOKUP(Таблица12[[#This Row],[Год]],Данные[#All],9,FALSE),0),0)</f>
        <v>465508.0534760718</v>
      </c>
      <c r="D120" s="19">
        <f>VLOOKUP($A$102,Настройки!$L$2:$N$13,2,FALSE)</f>
        <v>0.1</v>
      </c>
      <c r="E120" s="19">
        <f>VLOOKUP($A$102,Настройки!$L$2:$N$13,3,FALSE)</f>
        <v>0.9</v>
      </c>
      <c r="F120" s="20">
        <f>D120*VLOOKUP(B120,'Исходные данные'!$A$4:$G$24,2,FALSE)+E120*VLOOKUP(B120,'Исходные данные'!$A$4:$G$24,3,FALSE)+(1-D120-E120)*VLOOKUP(B120,'Исходные данные'!$A$4:$G$24,4,FALSE)</f>
        <v>-2.8112372433068203E-3</v>
      </c>
      <c r="G120" s="40">
        <f t="shared" si="33"/>
        <v>10486221.428677488</v>
      </c>
      <c r="H120" s="21">
        <f t="shared" si="28"/>
        <v>-30787.9097988514</v>
      </c>
      <c r="I120" s="21">
        <f t="shared" si="29"/>
        <v>10920941.572354708</v>
      </c>
      <c r="J120" s="23">
        <f t="shared" si="32"/>
        <v>5269575.8497980107</v>
      </c>
      <c r="K120" s="22">
        <f t="shared" si="30"/>
        <v>1.0724517273573966</v>
      </c>
      <c r="L120" s="22">
        <f>IFERROR((1+K120)/VLOOKUP(B120,'Исходные данные'!$A$4:$G$24,6,FALSE)-1,"")</f>
        <v>-0.54262780139855882</v>
      </c>
      <c r="M120" s="20">
        <f t="shared" si="31"/>
        <v>3.9099354233264272E-2</v>
      </c>
    </row>
    <row r="121" spans="1:14" x14ac:dyDescent="0.25">
      <c r="A121" s="27" t="s">
        <v>42</v>
      </c>
      <c r="B121" s="25">
        <f>'Исходные данные'!$A23</f>
        <v>2023</v>
      </c>
      <c r="C121" s="39">
        <f>IF(AND(Таблица12[[#This Row],[Год]]&gt;=Настройки!$B$4, Таблица12[[#This Row],[Год]]&lt;=Настройки!$B$5),IFERROR(VLOOKUP(Таблица12[[#This Row],[Год]],Данные[#All],9,FALSE),0),0)</f>
        <v>521089.71506111475</v>
      </c>
      <c r="D121" s="19">
        <f>VLOOKUP($A$102,Настройки!$L$2:$N$13,2,FALSE)</f>
        <v>0.1</v>
      </c>
      <c r="E121" s="19">
        <f>VLOOKUP($A$102,Настройки!$L$2:$N$13,3,FALSE)</f>
        <v>0.9</v>
      </c>
      <c r="F121" s="20">
        <f>D121*VLOOKUP(B121,'Исходные данные'!$A$4:$G$24,2,FALSE)+E121*VLOOKUP(B121,'Исходные данные'!$A$4:$G$24,3,FALSE)+(1-D121-E121)*VLOOKUP(B121,'Исходные данные'!$A$4:$G$24,4,FALSE)</f>
        <v>6.0676425851733405E-2</v>
      </c>
      <c r="G121" s="40">
        <f t="shared" si="33"/>
        <v>10920941.572354708</v>
      </c>
      <c r="H121" s="21">
        <f t="shared" si="28"/>
        <v>694261.56300409988</v>
      </c>
      <c r="I121" s="21">
        <f t="shared" si="29"/>
        <v>12136292.850419924</v>
      </c>
      <c r="J121" s="23">
        <f t="shared" si="32"/>
        <v>5790665.5648591258</v>
      </c>
      <c r="K121" s="22">
        <f t="shared" si="30"/>
        <v>1.0958372944328676</v>
      </c>
      <c r="L121" s="22">
        <f>IFERROR((1+K121)/VLOOKUP(B121,'Исходные данные'!$A$4:$G$24,6,FALSE)-1,"")</f>
        <v>-0.56941613172780303</v>
      </c>
      <c r="M121" s="20">
        <f t="shared" si="31"/>
        <v>3.7690589357311621E-2</v>
      </c>
    </row>
    <row r="122" spans="1:14" x14ac:dyDescent="0.25">
      <c r="A122" s="32" t="s">
        <v>42</v>
      </c>
      <c r="B122" s="33">
        <f>'Исходные данные'!$A24</f>
        <v>2024</v>
      </c>
      <c r="C122" s="39">
        <f>IF(AND(Таблица12[[#This Row],[Год]]&gt;=Настройки!$B$4, Таблица12[[#This Row],[Год]]&lt;=Настройки!$B$5),IFERROR(VLOOKUP(Таблица12[[#This Row],[Год]],Данные[#All],9,FALSE),0),0)</f>
        <v>559754.57191864948</v>
      </c>
      <c r="D122" s="34">
        <f>VLOOKUP($A$102,Настройки!$L$2:$N$13,2,FALSE)</f>
        <v>0.1</v>
      </c>
      <c r="E122" s="34">
        <f>VLOOKUP($A$102,Настройки!$L$2:$N$13,3,FALSE)</f>
        <v>0.9</v>
      </c>
      <c r="F122" s="35">
        <f>D122*VLOOKUP(B122,'Исходные данные'!$A$4:$G$24,2,FALSE)+E122*VLOOKUP(B122,'Исходные данные'!$A$4:$G$24,3,FALSE)+(1-D122-E122)*VLOOKUP(B122,'Исходные данные'!$A$4:$G$24,4,FALSE)</f>
        <v>-7.6262809998405651E-2</v>
      </c>
      <c r="G122" s="41">
        <f t="shared" si="33"/>
        <v>12136292.850419924</v>
      </c>
      <c r="H122" s="36">
        <f t="shared" si="28"/>
        <v>-968236.25230055442</v>
      </c>
      <c r="I122" s="36">
        <f t="shared" si="29"/>
        <v>11727811.170038018</v>
      </c>
      <c r="J122" s="37">
        <f t="shared" si="32"/>
        <v>6350420.1367777754</v>
      </c>
      <c r="K122" s="22">
        <f t="shared" si="30"/>
        <v>0.846777208033475</v>
      </c>
      <c r="L122" s="22">
        <f>IFERROR((1+K122)/VLOOKUP(B122,'Исходные данные'!$A$4:$G$24,6,FALSE)-1,"")</f>
        <v>-0.65356539891227872</v>
      </c>
      <c r="M122" s="20">
        <f t="shared" si="31"/>
        <v>2.9642368762195836E-2</v>
      </c>
    </row>
    <row r="125" spans="1:14" ht="30" x14ac:dyDescent="0.25">
      <c r="A125" s="28" t="s">
        <v>50</v>
      </c>
      <c r="B125" s="29" t="s">
        <v>10</v>
      </c>
      <c r="C125" s="28" t="s">
        <v>37</v>
      </c>
      <c r="D125" s="30" t="s">
        <v>53</v>
      </c>
      <c r="E125" s="30" t="s">
        <v>54</v>
      </c>
      <c r="F125" s="30" t="s">
        <v>55</v>
      </c>
      <c r="G125" s="30" t="s">
        <v>56</v>
      </c>
      <c r="H125" s="30" t="s">
        <v>57</v>
      </c>
      <c r="I125" s="30" t="s">
        <v>80</v>
      </c>
      <c r="J125" s="30" t="s">
        <v>79</v>
      </c>
      <c r="K125" s="30" t="s">
        <v>38</v>
      </c>
      <c r="L125" s="30" t="s">
        <v>83</v>
      </c>
      <c r="M125" s="31" t="s">
        <v>59</v>
      </c>
    </row>
    <row r="126" spans="1:14" x14ac:dyDescent="0.25">
      <c r="A126" s="27" t="s">
        <v>43</v>
      </c>
      <c r="B126" s="25">
        <f>'Исходные данные'!$A4</f>
        <v>2004</v>
      </c>
      <c r="C126" s="39">
        <f>IF(AND(Таблица11[[#This Row],[Год]]&gt;=Настройки!$B$4, Таблица11[[#This Row],[Год]]&lt;=Настройки!$B$5),IFERROR(VLOOKUP(Таблица11[[#This Row],[Год]],Данные[#All],9,FALSE),0),0)</f>
        <v>115000</v>
      </c>
      <c r="D126" s="19">
        <f>VLOOKUP($A$126,Настройки!$L$2:$N$13,2,FALSE)</f>
        <v>0.2</v>
      </c>
      <c r="E126" s="19">
        <f>VLOOKUP($A$126,Настройки!$L$2:$N$13,3,FALSE)</f>
        <v>0.8</v>
      </c>
      <c r="F126" s="20">
        <f>D126*VLOOKUP(B126,'Исходные данные'!$A$4:$G$24,2,FALSE)+E126*VLOOKUP(B126,'Исходные данные'!$A$4:$G$24,3,FALSE)+(1-D126-E126)*VLOOKUP(B126,'Исходные данные'!$A$4:$G$24,4,FALSE)</f>
        <v>0.10169646911605948</v>
      </c>
      <c r="G126" s="39">
        <f>0</f>
        <v>0</v>
      </c>
      <c r="H126" s="21">
        <f>(G126+C126)*F126</f>
        <v>11695.093948346841</v>
      </c>
      <c r="I126" s="21">
        <f>G126+C126+H126</f>
        <v>126695.09394834684</v>
      </c>
      <c r="J126" s="21">
        <f>C126</f>
        <v>115000</v>
      </c>
      <c r="K126" s="22">
        <f>IFERROR((I126-J126)/J126,"")</f>
        <v>0.10169646911605947</v>
      </c>
      <c r="L126" s="22">
        <f>IFERROR((1+K126)/VLOOKUP(B126,'Исходные данные'!$A$4:$G$24,6,FALSE)-1,"")</f>
        <v>-1.4053634225828171E-2</v>
      </c>
      <c r="M126" s="20">
        <f>IFERROR((I126/J126)^(1/(B126-$B$126+1))-1,"")</f>
        <v>0.10169646911605956</v>
      </c>
      <c r="N126" s="24"/>
    </row>
    <row r="127" spans="1:14" x14ac:dyDescent="0.25">
      <c r="A127" s="27" t="s">
        <v>43</v>
      </c>
      <c r="B127" s="25">
        <f>'Исходные данные'!$A5</f>
        <v>2005</v>
      </c>
      <c r="C127" s="39">
        <f>IF(AND(Таблица11[[#This Row],[Год]]&gt;=Настройки!$B$4, Таблица11[[#This Row],[Год]]&lt;=Настройки!$B$5),IFERROR(VLOOKUP(Таблица11[[#This Row],[Год]],Данные[#All],9,FALSE),0),0)</f>
        <v>128501</v>
      </c>
      <c r="D127" s="19">
        <f>VLOOKUP($A$126,Настройки!$L$2:$N$13,2,FALSE)</f>
        <v>0.2</v>
      </c>
      <c r="E127" s="19">
        <f>VLOOKUP($A$126,Настройки!$L$2:$N$13,3,FALSE)</f>
        <v>0.8</v>
      </c>
      <c r="F127" s="20">
        <f>D127*VLOOKUP(B127,'Исходные данные'!$A$4:$G$24,2,FALSE)+E127*VLOOKUP(B127,'Исходные данные'!$A$4:$G$24,3,FALSE)+(1-D127-E127)*VLOOKUP(B127,'Исходные данные'!$A$4:$G$24,4,FALSE)</f>
        <v>0.2628850961472029</v>
      </c>
      <c r="G127" s="40">
        <f>I126</f>
        <v>126695.09394834684</v>
      </c>
      <c r="H127" s="21">
        <f t="shared" ref="H127:H146" si="34">(G127+C127)*F127</f>
        <v>67087.249694001788</v>
      </c>
      <c r="I127" s="21">
        <f t="shared" ref="I127:I146" si="35">G127+C127+H127</f>
        <v>322283.34364234866</v>
      </c>
      <c r="J127" s="23">
        <f>J126+C127</f>
        <v>243501</v>
      </c>
      <c r="K127" s="22">
        <f t="shared" ref="K127:K146" si="36">IFERROR((I127-J127)/J127,"")</f>
        <v>0.32354012362310075</v>
      </c>
      <c r="L127" s="22">
        <f>IFERROR((1+K127)/VLOOKUP(B127,'Исходные данные'!$A$4:$G$24,6,FALSE)-1,"")</f>
        <v>6.7966768966551738E-2</v>
      </c>
      <c r="M127" s="20">
        <f t="shared" ref="M127:M146" si="37">IFERROR((I127/J127)^(1/(B127-$B$126+1))-1,"")</f>
        <v>0.15045213877983676</v>
      </c>
    </row>
    <row r="128" spans="1:14" x14ac:dyDescent="0.25">
      <c r="A128" s="27" t="s">
        <v>43</v>
      </c>
      <c r="B128" s="25">
        <f>'Исходные данные'!$A6</f>
        <v>2006</v>
      </c>
      <c r="C128" s="39">
        <f>IF(AND(Таблица11[[#This Row],[Год]]&gt;=Настройки!$B$4, Таблица11[[#This Row],[Год]]&lt;=Настройки!$B$5),IFERROR(VLOOKUP(Таблица11[[#This Row],[Год]],Данные[#All],9,FALSE),0),0)</f>
        <v>142520.45910000001</v>
      </c>
      <c r="D128" s="19">
        <f>VLOOKUP($A$126,Настройки!$L$2:$N$13,2,FALSE)</f>
        <v>0.2</v>
      </c>
      <c r="E128" s="19">
        <f>VLOOKUP($A$126,Настройки!$L$2:$N$13,3,FALSE)</f>
        <v>0.8</v>
      </c>
      <c r="F128" s="20">
        <f>D128*VLOOKUP(B128,'Исходные данные'!$A$4:$G$24,2,FALSE)+E128*VLOOKUP(B128,'Исходные данные'!$A$4:$G$24,3,FALSE)+(1-D128-E128)*VLOOKUP(B128,'Исходные данные'!$A$4:$G$24,4,FALSE)</f>
        <v>0.19454503950919766</v>
      </c>
      <c r="G128" s="40">
        <f>I127</f>
        <v>322283.34364234866</v>
      </c>
      <c r="H128" s="21">
        <f t="shared" si="34"/>
        <v>90425.274168535529</v>
      </c>
      <c r="I128" s="21">
        <f t="shared" si="35"/>
        <v>555229.07691088412</v>
      </c>
      <c r="J128" s="23">
        <f t="shared" ref="J128:J146" si="38">J127+C128</f>
        <v>386021.45909999998</v>
      </c>
      <c r="K128" s="22">
        <f t="shared" si="36"/>
        <v>0.43833733545639603</v>
      </c>
      <c r="L128" s="22">
        <f>IFERROR((1+K128)/VLOOKUP(B128,'Исходные данные'!$A$4:$G$24,6,FALSE)-1,"")</f>
        <v>6.4767737394520797E-2</v>
      </c>
      <c r="M128" s="20">
        <f t="shared" si="37"/>
        <v>0.12880844859789931</v>
      </c>
    </row>
    <row r="129" spans="1:13" x14ac:dyDescent="0.25">
      <c r="A129" s="27" t="s">
        <v>43</v>
      </c>
      <c r="B129" s="25">
        <f>'Исходные данные'!$A7</f>
        <v>2007</v>
      </c>
      <c r="C129" s="39">
        <f>IF(AND(Таблица11[[#This Row],[Год]]&gt;=Настройки!$B$4, Таблица11[[#This Row],[Год]]&lt;=Настройки!$B$5),IFERROR(VLOOKUP(Таблица11[[#This Row],[Год]],Данные[#All],9,FALSE),0),0)</f>
        <v>155347.30041900001</v>
      </c>
      <c r="D129" s="19">
        <f>VLOOKUP($A$126,Настройки!$L$2:$N$13,2,FALSE)</f>
        <v>0.2</v>
      </c>
      <c r="E129" s="19">
        <f>VLOOKUP($A$126,Настройки!$L$2:$N$13,3,FALSE)</f>
        <v>0.8</v>
      </c>
      <c r="F129" s="20">
        <f>D129*VLOOKUP(B129,'Исходные данные'!$A$4:$G$24,2,FALSE)+E129*VLOOKUP(B129,'Исходные данные'!$A$4:$G$24,3,FALSE)+(1-D129-E129)*VLOOKUP(B129,'Исходные данные'!$A$4:$G$24,4,FALSE)</f>
        <v>8.4524714337185947E-2</v>
      </c>
      <c r="G129" s="40">
        <f t="shared" ref="G129:G146" si="39">I128</f>
        <v>555229.07691088412</v>
      </c>
      <c r="H129" s="21">
        <f t="shared" si="34"/>
        <v>60061.265308560905</v>
      </c>
      <c r="I129" s="21">
        <f t="shared" si="35"/>
        <v>770637.64263844502</v>
      </c>
      <c r="J129" s="23">
        <f t="shared" si="38"/>
        <v>541368.75951899996</v>
      </c>
      <c r="K129" s="22">
        <f t="shared" si="36"/>
        <v>0.42349854713291524</v>
      </c>
      <c r="L129" s="22">
        <f>IFERROR((1+K129)/VLOOKUP(B129,'Исходные данные'!$A$4:$G$24,6,FALSE)-1,"")</f>
        <v>-5.8029027539219458E-2</v>
      </c>
      <c r="M129" s="20">
        <f t="shared" si="37"/>
        <v>9.2293268076389712E-2</v>
      </c>
    </row>
    <row r="130" spans="1:13" x14ac:dyDescent="0.25">
      <c r="A130" s="27" t="s">
        <v>43</v>
      </c>
      <c r="B130" s="25">
        <f>'Исходные данные'!$A8</f>
        <v>2008</v>
      </c>
      <c r="C130" s="39">
        <f>IF(AND(Таблица11[[#This Row],[Год]]&gt;=Настройки!$B$4, Таблица11[[#This Row],[Год]]&lt;=Настройки!$B$5),IFERROR(VLOOKUP(Таблица11[[#This Row],[Год]],Данные[#All],9,FALSE),0),0)</f>
        <v>173787.02497873531</v>
      </c>
      <c r="D130" s="19">
        <f>VLOOKUP($A$126,Настройки!$L$2:$N$13,2,FALSE)</f>
        <v>0.2</v>
      </c>
      <c r="E130" s="19">
        <f>VLOOKUP($A$126,Настройки!$L$2:$N$13,3,FALSE)</f>
        <v>0.8</v>
      </c>
      <c r="F130" s="20">
        <f>D130*VLOOKUP(B130,'Исходные данные'!$A$4:$G$24,2,FALSE)+E130*VLOOKUP(B130,'Исходные данные'!$A$4:$G$24,3,FALSE)+(1-D130-E130)*VLOOKUP(B130,'Исходные данные'!$A$4:$G$24,4,FALSE)</f>
        <v>-0.17764667314987623</v>
      </c>
      <c r="G130" s="40">
        <f t="shared" si="39"/>
        <v>770637.64263844502</v>
      </c>
      <c r="H130" s="21">
        <f t="shared" si="34"/>
        <v>-167773.90024286974</v>
      </c>
      <c r="I130" s="21">
        <f t="shared" si="35"/>
        <v>776650.76737431064</v>
      </c>
      <c r="J130" s="23">
        <f t="shared" si="38"/>
        <v>715155.78449773532</v>
      </c>
      <c r="K130" s="22">
        <f t="shared" si="36"/>
        <v>8.5988233905937253E-2</v>
      </c>
      <c r="L130" s="22">
        <f>IFERROR((1+K130)/VLOOKUP(B130,'Исходные данные'!$A$4:$G$24,6,FALSE)-1,"")</f>
        <v>-0.36561578048266485</v>
      </c>
      <c r="M130" s="20">
        <f t="shared" si="37"/>
        <v>1.6634922224707527E-2</v>
      </c>
    </row>
    <row r="131" spans="1:13" x14ac:dyDescent="0.25">
      <c r="A131" s="27" t="s">
        <v>43</v>
      </c>
      <c r="B131" s="25">
        <f>'Исходные данные'!$A9</f>
        <v>2009</v>
      </c>
      <c r="C131" s="39">
        <f>IF(AND(Таблица11[[#This Row],[Год]]&gt;=Настройки!$B$4, Таблица11[[#This Row],[Год]]&lt;=Настройки!$B$5),IFERROR(VLOOKUP(Таблица11[[#This Row],[Год]],Данные[#All],9,FALSE),0),0)</f>
        <v>196865.94189591135</v>
      </c>
      <c r="D131" s="19">
        <f>VLOOKUP($A$126,Настройки!$L$2:$N$13,2,FALSE)</f>
        <v>0.2</v>
      </c>
      <c r="E131" s="19">
        <f>VLOOKUP($A$126,Настройки!$L$2:$N$13,3,FALSE)</f>
        <v>0.8</v>
      </c>
      <c r="F131" s="20">
        <f>D131*VLOOKUP(B131,'Исходные данные'!$A$4:$G$24,2,FALSE)+E131*VLOOKUP(B131,'Исходные данные'!$A$4:$G$24,3,FALSE)+(1-D131-E131)*VLOOKUP(B131,'Исходные данные'!$A$4:$G$24,4,FALSE)</f>
        <v>0.5348449840293511</v>
      </c>
      <c r="G131" s="40">
        <f t="shared" si="39"/>
        <v>776650.76737431064</v>
      </c>
      <c r="H131" s="21">
        <f t="shared" si="34"/>
        <v>520680.52882193832</v>
      </c>
      <c r="I131" s="21">
        <f t="shared" si="35"/>
        <v>1494197.2380921603</v>
      </c>
      <c r="J131" s="23">
        <f t="shared" si="38"/>
        <v>912021.72639364668</v>
      </c>
      <c r="K131" s="22">
        <f t="shared" si="36"/>
        <v>0.63833513484440296</v>
      </c>
      <c r="L131" s="22">
        <f>IFERROR((1+K131)/VLOOKUP(B131,'Исходные данные'!$A$4:$G$24,6,FALSE)-1,"")</f>
        <v>-0.12036783625967007</v>
      </c>
      <c r="M131" s="20">
        <f t="shared" si="37"/>
        <v>8.5759882167519619E-2</v>
      </c>
    </row>
    <row r="132" spans="1:13" x14ac:dyDescent="0.25">
      <c r="A132" s="27" t="s">
        <v>43</v>
      </c>
      <c r="B132" s="25">
        <f>'Исходные данные'!$A10</f>
        <v>2010</v>
      </c>
      <c r="C132" s="39">
        <f>IF(AND(Таблица11[[#This Row],[Год]]&gt;=Настройки!$B$4, Таблица11[[#This Row],[Год]]&lt;=Настройки!$B$5),IFERROR(VLOOKUP(Таблица11[[#This Row],[Год]],Данные[#All],9,FALSE),0),0)</f>
        <v>214190.14478275157</v>
      </c>
      <c r="D132" s="19">
        <f>VLOOKUP($A$126,Настройки!$L$2:$N$13,2,FALSE)</f>
        <v>0.2</v>
      </c>
      <c r="E132" s="19">
        <f>VLOOKUP($A$126,Настройки!$L$2:$N$13,3,FALSE)</f>
        <v>0.8</v>
      </c>
      <c r="F132" s="20">
        <f>D132*VLOOKUP(B132,'Исходные данные'!$A$4:$G$24,2,FALSE)+E132*VLOOKUP(B132,'Исходные данные'!$A$4:$G$24,3,FALSE)+(1-D132-E132)*VLOOKUP(B132,'Исходные данные'!$A$4:$G$24,4,FALSE)</f>
        <v>0.13974948202739862</v>
      </c>
      <c r="G132" s="40">
        <f t="shared" si="39"/>
        <v>1494197.2380921603</v>
      </c>
      <c r="H132" s="21">
        <f t="shared" si="34"/>
        <v>238746.25185891206</v>
      </c>
      <c r="I132" s="21">
        <f t="shared" si="35"/>
        <v>1947133.6347338241</v>
      </c>
      <c r="J132" s="23">
        <f t="shared" si="38"/>
        <v>1126211.8711763984</v>
      </c>
      <c r="K132" s="22">
        <f t="shared" si="36"/>
        <v>0.72892302467023529</v>
      </c>
      <c r="L132" s="22">
        <f>IFERROR((1+K132)/VLOOKUP(B132,'Исходные данные'!$A$4:$G$24,6,FALSE)-1,"")</f>
        <v>-0.14665438833942401</v>
      </c>
      <c r="M132" s="20">
        <f t="shared" si="37"/>
        <v>8.1354149581954083E-2</v>
      </c>
    </row>
    <row r="133" spans="1:13" x14ac:dyDescent="0.25">
      <c r="A133" s="27" t="s">
        <v>43</v>
      </c>
      <c r="B133" s="25">
        <f>'Исходные данные'!$A11</f>
        <v>2011</v>
      </c>
      <c r="C133" s="39">
        <f>IF(AND(Таблица11[[#This Row],[Год]]&gt;=Настройки!$B$4, Таблица11[[#This Row],[Год]]&lt;=Настройки!$B$5),IFERROR(VLOOKUP(Таблица11[[#This Row],[Год]],Данные[#All],9,FALSE),0),0)</f>
        <v>232996.03949467718</v>
      </c>
      <c r="D133" s="19">
        <f>VLOOKUP($A$126,Настройки!$L$2:$N$13,2,FALSE)</f>
        <v>0.2</v>
      </c>
      <c r="E133" s="19">
        <f>VLOOKUP($A$126,Настройки!$L$2:$N$13,3,FALSE)</f>
        <v>0.8</v>
      </c>
      <c r="F133" s="20">
        <f>D133*VLOOKUP(B133,'Исходные данные'!$A$4:$G$24,2,FALSE)+E133*VLOOKUP(B133,'Исходные данные'!$A$4:$G$24,3,FALSE)+(1-D133-E133)*VLOOKUP(B133,'Исходные данные'!$A$4:$G$24,4,FALSE)</f>
        <v>1.7443700887003914E-2</v>
      </c>
      <c r="G133" s="40">
        <f t="shared" si="39"/>
        <v>1947133.6347338241</v>
      </c>
      <c r="H133" s="21">
        <f t="shared" si="34"/>
        <v>38029.52993212326</v>
      </c>
      <c r="I133" s="21">
        <f t="shared" si="35"/>
        <v>2218159.2041606242</v>
      </c>
      <c r="J133" s="23">
        <f t="shared" si="38"/>
        <v>1359207.9106710756</v>
      </c>
      <c r="K133" s="22">
        <f t="shared" si="36"/>
        <v>0.63194989283535175</v>
      </c>
      <c r="L133" s="22">
        <f>IFERROR((1+K133)/VLOOKUP(B133,'Исходные данные'!$A$4:$G$24,6,FALSE)-1,"")</f>
        <v>-0.24082702853861193</v>
      </c>
      <c r="M133" s="20">
        <f t="shared" si="37"/>
        <v>6.3134844557451109E-2</v>
      </c>
    </row>
    <row r="134" spans="1:13" x14ac:dyDescent="0.25">
      <c r="A134" s="27" t="s">
        <v>43</v>
      </c>
      <c r="B134" s="25">
        <f>'Исходные данные'!$A12</f>
        <v>2012</v>
      </c>
      <c r="C134" s="39">
        <f>IF(AND(Таблица11[[#This Row],[Год]]&gt;=Настройки!$B$4, Таблица11[[#This Row],[Год]]&lt;=Настройки!$B$5),IFERROR(VLOOKUP(Таблица11[[#This Row],[Год]],Данные[#All],9,FALSE),0),0)</f>
        <v>247208.79790385248</v>
      </c>
      <c r="D134" s="19">
        <f>VLOOKUP($A$126,Настройки!$L$2:$N$13,2,FALSE)</f>
        <v>0.2</v>
      </c>
      <c r="E134" s="19">
        <f>VLOOKUP($A$126,Настройки!$L$2:$N$13,3,FALSE)</f>
        <v>0.8</v>
      </c>
      <c r="F134" s="20">
        <f>D134*VLOOKUP(B134,'Исходные данные'!$A$4:$G$24,2,FALSE)+E134*VLOOKUP(B134,'Исходные данные'!$A$4:$G$24,3,FALSE)+(1-D134-E134)*VLOOKUP(B134,'Исходные данные'!$A$4:$G$24,4,FALSE)</f>
        <v>0.134702412238448</v>
      </c>
      <c r="G134" s="40">
        <f t="shared" si="39"/>
        <v>2218159.2041606242</v>
      </c>
      <c r="H134" s="21">
        <f t="shared" si="34"/>
        <v>332091.01693356805</v>
      </c>
      <c r="I134" s="21">
        <f t="shared" si="35"/>
        <v>2797459.0189980445</v>
      </c>
      <c r="J134" s="23">
        <f t="shared" si="38"/>
        <v>1606416.7085749281</v>
      </c>
      <c r="K134" s="22">
        <f t="shared" si="36"/>
        <v>0.7414279894285366</v>
      </c>
      <c r="L134" s="22">
        <f>IFERROR((1+K134)/VLOOKUP(B134,'Исходные данные'!$A$4:$G$24,6,FALSE)-1,"")</f>
        <v>-0.23991226947613276</v>
      </c>
      <c r="M134" s="20">
        <f t="shared" si="37"/>
        <v>6.3572941975973629E-2</v>
      </c>
    </row>
    <row r="135" spans="1:13" x14ac:dyDescent="0.25">
      <c r="A135" s="27" t="s">
        <v>43</v>
      </c>
      <c r="B135" s="25">
        <f>'Исходные данные'!$A13</f>
        <v>2013</v>
      </c>
      <c r="C135" s="39">
        <f>IF(AND(Таблица11[[#This Row],[Год]]&gt;=Настройки!$B$4, Таблица11[[#This Row],[Год]]&lt;=Настройки!$B$5),IFERROR(VLOOKUP(Таблица11[[#This Row],[Год]],Данные[#All],9,FALSE),0),0)</f>
        <v>263475.13680592598</v>
      </c>
      <c r="D135" s="19">
        <f>VLOOKUP($A$126,Настройки!$L$2:$N$13,2,FALSE)</f>
        <v>0.2</v>
      </c>
      <c r="E135" s="19">
        <f>VLOOKUP($A$126,Настройки!$L$2:$N$13,3,FALSE)</f>
        <v>0.8</v>
      </c>
      <c r="F135" s="20">
        <f>D135*VLOOKUP(B135,'Исходные данные'!$A$4:$G$24,2,FALSE)+E135*VLOOKUP(B135,'Исходные данные'!$A$4:$G$24,3,FALSE)+(1-D135-E135)*VLOOKUP(B135,'Исходные данные'!$A$4:$G$24,4,FALSE)</f>
        <v>4.3046049420898624E-2</v>
      </c>
      <c r="G135" s="40">
        <f t="shared" si="39"/>
        <v>2797459.0189980445</v>
      </c>
      <c r="H135" s="21">
        <f t="shared" si="34"/>
        <v>131761.12294485432</v>
      </c>
      <c r="I135" s="21">
        <f t="shared" si="35"/>
        <v>3192695.2787488247</v>
      </c>
      <c r="J135" s="23">
        <f t="shared" si="38"/>
        <v>1869891.8453808541</v>
      </c>
      <c r="K135" s="22">
        <f t="shared" si="36"/>
        <v>0.70742243014517558</v>
      </c>
      <c r="L135" s="22">
        <f>IFERROR((1+K135)/VLOOKUP(B135,'Исходные данные'!$A$4:$G$24,6,FALSE)-1,"")</f>
        <v>-0.29991057389429765</v>
      </c>
      <c r="M135" s="20">
        <f t="shared" si="37"/>
        <v>5.4955396940323809E-2</v>
      </c>
    </row>
    <row r="136" spans="1:13" x14ac:dyDescent="0.25">
      <c r="A136" s="27" t="s">
        <v>43</v>
      </c>
      <c r="B136" s="25">
        <f>'Исходные данные'!$A14</f>
        <v>2014</v>
      </c>
      <c r="C136" s="39">
        <f>IF(AND(Таблица11[[#This Row],[Год]]&gt;=Настройки!$B$4, Таблица11[[#This Row],[Год]]&lt;=Настройки!$B$5),IFERROR(VLOOKUP(Таблица11[[#This Row],[Год]],Данные[#All],9,FALSE),0),0)</f>
        <v>280469.2831299082</v>
      </c>
      <c r="D136" s="19">
        <f>VLOOKUP($A$126,Настройки!$L$2:$N$13,2,FALSE)</f>
        <v>0.2</v>
      </c>
      <c r="E136" s="19">
        <f>VLOOKUP($A$126,Настройки!$L$2:$N$13,3,FALSE)</f>
        <v>0.8</v>
      </c>
      <c r="F136" s="20">
        <f>D136*VLOOKUP(B136,'Исходные данные'!$A$4:$G$24,2,FALSE)+E136*VLOOKUP(B136,'Исходные данные'!$A$4:$G$24,3,FALSE)+(1-D136-E136)*VLOOKUP(B136,'Исходные данные'!$A$4:$G$24,4,FALSE)</f>
        <v>-0.11853047123318916</v>
      </c>
      <c r="G136" s="40">
        <f t="shared" si="39"/>
        <v>3192695.2787488247</v>
      </c>
      <c r="H136" s="21">
        <f t="shared" si="34"/>
        <v>-411675.83218989917</v>
      </c>
      <c r="I136" s="21">
        <f t="shared" si="35"/>
        <v>3061488.7296888335</v>
      </c>
      <c r="J136" s="23">
        <f t="shared" si="38"/>
        <v>2150361.1285107625</v>
      </c>
      <c r="K136" s="22">
        <f t="shared" si="36"/>
        <v>0.42370911057580107</v>
      </c>
      <c r="L136" s="22">
        <f>IFERROR((1+K136)/VLOOKUP(B136,'Исходные данные'!$A$4:$G$24,6,FALSE)-1,"")</f>
        <v>-0.47579087344576576</v>
      </c>
      <c r="M136" s="20">
        <f t="shared" si="37"/>
        <v>3.263630007116225E-2</v>
      </c>
    </row>
    <row r="137" spans="1:13" x14ac:dyDescent="0.25">
      <c r="A137" s="27" t="s">
        <v>43</v>
      </c>
      <c r="B137" s="25">
        <f>'Исходные данные'!$A15</f>
        <v>2015</v>
      </c>
      <c r="C137" s="39">
        <f>IF(AND(Таблица11[[#This Row],[Год]]&gt;=Настройки!$B$4, Таблица11[[#This Row],[Год]]&lt;=Настройки!$B$5),IFERROR(VLOOKUP(Таблица11[[#This Row],[Год]],Данные[#All],9,FALSE),0),0)</f>
        <v>312330.59369346575</v>
      </c>
      <c r="D137" s="19">
        <f>VLOOKUP($A$126,Настройки!$L$2:$N$13,2,FALSE)</f>
        <v>0.2</v>
      </c>
      <c r="E137" s="19">
        <f>VLOOKUP($A$126,Настройки!$L$2:$N$13,3,FALSE)</f>
        <v>0.8</v>
      </c>
      <c r="F137" s="20">
        <f>D137*VLOOKUP(B137,'Исходные данные'!$A$4:$G$24,2,FALSE)+E137*VLOOKUP(B137,'Исходные данные'!$A$4:$G$24,3,FALSE)+(1-D137-E137)*VLOOKUP(B137,'Исходные данные'!$A$4:$G$24,4,FALSE)</f>
        <v>0.30099404577905675</v>
      </c>
      <c r="G137" s="40">
        <f t="shared" si="39"/>
        <v>3061488.7296888335</v>
      </c>
      <c r="H137" s="21">
        <f t="shared" si="34"/>
        <v>1015499.5278723981</v>
      </c>
      <c r="I137" s="21">
        <f t="shared" si="35"/>
        <v>4389318.8512546979</v>
      </c>
      <c r="J137" s="23">
        <f t="shared" si="38"/>
        <v>2462691.7222042284</v>
      </c>
      <c r="K137" s="22">
        <f t="shared" si="36"/>
        <v>0.7823257420648837</v>
      </c>
      <c r="L137" s="22">
        <f>IFERROR((1+K137)/VLOOKUP(B137,'Исходные данные'!$A$4:$G$24,6,FALSE)-1,"")</f>
        <v>-0.41878343175475374</v>
      </c>
      <c r="M137" s="20">
        <f t="shared" si="37"/>
        <v>4.9338458068654889E-2</v>
      </c>
    </row>
    <row r="138" spans="1:13" x14ac:dyDescent="0.25">
      <c r="A138" s="27" t="s">
        <v>43</v>
      </c>
      <c r="B138" s="25">
        <f>'Исходные данные'!$A16</f>
        <v>2016</v>
      </c>
      <c r="C138" s="39">
        <f>IF(AND(Таблица11[[#This Row],[Год]]&gt;=Настройки!$B$4, Таблица11[[#This Row],[Год]]&lt;=Настройки!$B$5),IFERROR(VLOOKUP(Таблица11[[#This Row],[Год]],Данные[#All],9,FALSE),0),0)</f>
        <v>352652.47333929216</v>
      </c>
      <c r="D138" s="19">
        <f>VLOOKUP($A$126,Настройки!$L$2:$N$13,2,FALSE)</f>
        <v>0.2</v>
      </c>
      <c r="E138" s="19">
        <f>VLOOKUP($A$126,Настройки!$L$2:$N$13,3,FALSE)</f>
        <v>0.8</v>
      </c>
      <c r="F138" s="20">
        <f>D138*VLOOKUP(B138,'Исходные данные'!$A$4:$G$24,2,FALSE)+E138*VLOOKUP(B138,'Исходные данные'!$A$4:$G$24,3,FALSE)+(1-D138-E138)*VLOOKUP(B138,'Исходные данные'!$A$4:$G$24,4,FALSE)</f>
        <v>0.1845867252568178</v>
      </c>
      <c r="G138" s="40">
        <f t="shared" si="39"/>
        <v>4389318.8512546979</v>
      </c>
      <c r="H138" s="21">
        <f t="shared" si="34"/>
        <v>875304.95806853927</v>
      </c>
      <c r="I138" s="21">
        <f t="shared" si="35"/>
        <v>5617276.2826625295</v>
      </c>
      <c r="J138" s="23">
        <f t="shared" si="38"/>
        <v>2815344.1955435206</v>
      </c>
      <c r="K138" s="22">
        <f t="shared" si="36"/>
        <v>0.99523606795725295</v>
      </c>
      <c r="L138" s="22">
        <f>IFERROR((1+K138)/VLOOKUP(B138,'Исходные данные'!$A$4:$G$24,6,FALSE)-1,"")</f>
        <v>-0.38257103559351258</v>
      </c>
      <c r="M138" s="20">
        <f t="shared" si="37"/>
        <v>5.4572600846831909E-2</v>
      </c>
    </row>
    <row r="139" spans="1:13" x14ac:dyDescent="0.25">
      <c r="A139" s="27" t="s">
        <v>43</v>
      </c>
      <c r="B139" s="25">
        <f>'Исходные данные'!$A17</f>
        <v>2017</v>
      </c>
      <c r="C139" s="39">
        <f>IF(AND(Таблица11[[#This Row],[Год]]&gt;=Настройки!$B$4, Таблица11[[#This Row],[Год]]&lt;=Настройки!$B$5),IFERROR(VLOOKUP(Таблица11[[#This Row],[Год]],Данные[#All],9,FALSE),0),0)</f>
        <v>371625.17640494613</v>
      </c>
      <c r="D139" s="19">
        <f>VLOOKUP($A$126,Настройки!$L$2:$N$13,2,FALSE)</f>
        <v>0.2</v>
      </c>
      <c r="E139" s="19">
        <f>VLOOKUP($A$126,Настройки!$L$2:$N$13,3,FALSE)</f>
        <v>0.8</v>
      </c>
      <c r="F139" s="20">
        <f>D139*VLOOKUP(B139,'Исходные данные'!$A$4:$G$24,2,FALSE)+E139*VLOOKUP(B139,'Исходные данные'!$A$4:$G$24,3,FALSE)+(1-D139-E139)*VLOOKUP(B139,'Исходные данные'!$A$4:$G$24,4,FALSE)</f>
        <v>0.10153718725504131</v>
      </c>
      <c r="G139" s="40">
        <f t="shared" si="39"/>
        <v>5617276.2826625295</v>
      </c>
      <c r="H139" s="21">
        <f t="shared" si="34"/>
        <v>608096.20890132443</v>
      </c>
      <c r="I139" s="21">
        <f t="shared" si="35"/>
        <v>6596997.6679688003</v>
      </c>
      <c r="J139" s="23">
        <f t="shared" si="38"/>
        <v>3186969.3719484666</v>
      </c>
      <c r="K139" s="22">
        <f t="shared" si="36"/>
        <v>1.0699909217939838</v>
      </c>
      <c r="L139" s="22">
        <f>IFERROR((1+K139)/VLOOKUP(B139,'Исходные данные'!$A$4:$G$24,6,FALSE)-1,"")</f>
        <v>-0.37518340573548481</v>
      </c>
      <c r="M139" s="20">
        <f t="shared" si="37"/>
        <v>5.3341449796836082E-2</v>
      </c>
    </row>
    <row r="140" spans="1:13" x14ac:dyDescent="0.25">
      <c r="A140" s="27" t="s">
        <v>43</v>
      </c>
      <c r="B140" s="25">
        <f>'Исходные данные'!$A18</f>
        <v>2018</v>
      </c>
      <c r="C140" s="39">
        <f>IF(AND(Таблица11[[#This Row],[Год]]&gt;=Настройки!$B$4, Таблица11[[#This Row],[Год]]&lt;=Настройки!$B$5),IFERROR(VLOOKUP(Таблица11[[#This Row],[Год]],Данные[#All],9,FALSE),0),0)</f>
        <v>380990.13085035072</v>
      </c>
      <c r="D140" s="19">
        <f>VLOOKUP($A$126,Настройки!$L$2:$N$13,2,FALSE)</f>
        <v>0.2</v>
      </c>
      <c r="E140" s="19">
        <f>VLOOKUP($A$126,Настройки!$L$2:$N$13,3,FALSE)</f>
        <v>0.8</v>
      </c>
      <c r="F140" s="20">
        <f>D140*VLOOKUP(B140,'Исходные данные'!$A$4:$G$24,2,FALSE)+E140*VLOOKUP(B140,'Исходные данные'!$A$4:$G$24,3,FALSE)+(1-D140-E140)*VLOOKUP(B140,'Исходные данные'!$A$4:$G$24,4,FALSE)</f>
        <v>5.5148664402944594E-2</v>
      </c>
      <c r="G140" s="40">
        <f t="shared" si="39"/>
        <v>6596997.6679688003</v>
      </c>
      <c r="H140" s="21">
        <f t="shared" si="34"/>
        <v>384826.70732491941</v>
      </c>
      <c r="I140" s="21">
        <f t="shared" si="35"/>
        <v>7362814.5061440701</v>
      </c>
      <c r="J140" s="23">
        <f t="shared" si="38"/>
        <v>3567959.5027988171</v>
      </c>
      <c r="K140" s="22">
        <f t="shared" si="36"/>
        <v>1.0635925100518804</v>
      </c>
      <c r="L140" s="22">
        <f>IFERROR((1+K140)/VLOOKUP(B140,'Исходные данные'!$A$4:$G$24,6,FALSE)-1,"")</f>
        <v>-0.40262274374028995</v>
      </c>
      <c r="M140" s="20">
        <f t="shared" si="37"/>
        <v>4.9481843572616535E-2</v>
      </c>
    </row>
    <row r="141" spans="1:13" x14ac:dyDescent="0.25">
      <c r="A141" s="27" t="s">
        <v>43</v>
      </c>
      <c r="B141" s="25">
        <f>'Исходные данные'!$A19</f>
        <v>2019</v>
      </c>
      <c r="C141" s="39">
        <f>IF(AND(Таблица11[[#This Row],[Год]]&gt;=Настройки!$B$4, Таблица11[[#This Row],[Год]]&lt;=Настройки!$B$5),IFERROR(VLOOKUP(Таблица11[[#This Row],[Год]],Данные[#All],9,FALSE),0),0)</f>
        <v>397258.40943766065</v>
      </c>
      <c r="D141" s="19">
        <f>VLOOKUP($A$126,Настройки!$L$2:$N$13,2,FALSE)</f>
        <v>0.2</v>
      </c>
      <c r="E141" s="19">
        <f>VLOOKUP($A$126,Настройки!$L$2:$N$13,3,FALSE)</f>
        <v>0.8</v>
      </c>
      <c r="F141" s="20">
        <f>D141*VLOOKUP(B141,'Исходные данные'!$A$4:$G$24,2,FALSE)+E141*VLOOKUP(B141,'Исходные данные'!$A$4:$G$24,3,FALSE)+(1-D141-E141)*VLOOKUP(B141,'Исходные данные'!$A$4:$G$24,4,FALSE)</f>
        <v>0.23683773436157352</v>
      </c>
      <c r="G141" s="40">
        <f t="shared" si="39"/>
        <v>7362814.5061440701</v>
      </c>
      <c r="H141" s="21">
        <f t="shared" si="34"/>
        <v>1837878.0878069873</v>
      </c>
      <c r="I141" s="21">
        <f t="shared" si="35"/>
        <v>9597951.0033887178</v>
      </c>
      <c r="J141" s="23">
        <f t="shared" si="38"/>
        <v>3965217.9122364777</v>
      </c>
      <c r="K141" s="22">
        <f t="shared" si="36"/>
        <v>1.4205355710136101</v>
      </c>
      <c r="L141" s="22">
        <f>IFERROR((1+K141)/VLOOKUP(B141,'Исходные данные'!$A$4:$G$24,6,FALSE)-1,"")</f>
        <v>-0.3200324083531163</v>
      </c>
      <c r="M141" s="20">
        <f t="shared" si="37"/>
        <v>5.680404480429968E-2</v>
      </c>
    </row>
    <row r="142" spans="1:13" x14ac:dyDescent="0.25">
      <c r="A142" s="27" t="s">
        <v>43</v>
      </c>
      <c r="B142" s="25">
        <f>'Исходные данные'!$A20</f>
        <v>2020</v>
      </c>
      <c r="C142" s="39">
        <f>IF(AND(Таблица11[[#This Row],[Год]]&gt;=Настройки!$B$4, Таблица11[[#This Row],[Год]]&lt;=Настройки!$B$5),IFERROR(VLOOKUP(Таблица11[[#This Row],[Год]],Данные[#All],9,FALSE),0),0)</f>
        <v>409374.7909255093</v>
      </c>
      <c r="D142" s="19">
        <f>VLOOKUP($A$126,Настройки!$L$2:$N$13,2,FALSE)</f>
        <v>0.2</v>
      </c>
      <c r="E142" s="19">
        <f>VLOOKUP($A$126,Настройки!$L$2:$N$13,3,FALSE)</f>
        <v>0.8</v>
      </c>
      <c r="F142" s="20">
        <f>D142*VLOOKUP(B142,'Исходные данные'!$A$4:$G$24,2,FALSE)+E142*VLOOKUP(B142,'Исходные данные'!$A$4:$G$24,3,FALSE)+(1-D142-E142)*VLOOKUP(B142,'Исходные данные'!$A$4:$G$24,4,FALSE)</f>
        <v>9.7973506307731606E-2</v>
      </c>
      <c r="G142" s="40">
        <f t="shared" si="39"/>
        <v>9597951.0033887178</v>
      </c>
      <c r="H142" s="21">
        <f t="shared" si="34"/>
        <v>980452.79683277023</v>
      </c>
      <c r="I142" s="21">
        <f t="shared" si="35"/>
        <v>10987778.591146998</v>
      </c>
      <c r="J142" s="23">
        <f t="shared" si="38"/>
        <v>4374592.7031619865</v>
      </c>
      <c r="K142" s="22">
        <f t="shared" si="36"/>
        <v>1.5117260821115881</v>
      </c>
      <c r="L142" s="22">
        <f>IFERROR((1+K142)/VLOOKUP(B142,'Исходные данные'!$A$4:$G$24,6,FALSE)-1,"")</f>
        <v>-0.32743829841779637</v>
      </c>
      <c r="M142" s="20">
        <f t="shared" si="37"/>
        <v>5.566902998482548E-2</v>
      </c>
    </row>
    <row r="143" spans="1:13" x14ac:dyDescent="0.25">
      <c r="A143" s="27" t="s">
        <v>43</v>
      </c>
      <c r="B143" s="25">
        <f>'Исходные данные'!$A21</f>
        <v>2021</v>
      </c>
      <c r="C143" s="39">
        <f>IF(AND(Таблица11[[#This Row],[Год]]&gt;=Настройки!$B$4, Таблица11[[#This Row],[Год]]&lt;=Настройки!$B$5),IFERROR(VLOOKUP(Таблица11[[#This Row],[Год]],Данные[#All],9,FALSE),0),0)</f>
        <v>429475.09315995179</v>
      </c>
      <c r="D143" s="19">
        <f>VLOOKUP($A$126,Настройки!$L$2:$N$13,2,FALSE)</f>
        <v>0.2</v>
      </c>
      <c r="E143" s="19">
        <f>VLOOKUP($A$126,Настройки!$L$2:$N$13,3,FALSE)</f>
        <v>0.8</v>
      </c>
      <c r="F143" s="20">
        <f>D143*VLOOKUP(B143,'Исходные данные'!$A$4:$G$24,2,FALSE)+E143*VLOOKUP(B143,'Исходные данные'!$A$4:$G$24,3,FALSE)+(1-D143-E143)*VLOOKUP(B143,'Исходные данные'!$A$4:$G$24,4,FALSE)</f>
        <v>3.2534061723615629E-3</v>
      </c>
      <c r="G143" s="40">
        <f t="shared" si="39"/>
        <v>10987778.591146998</v>
      </c>
      <c r="H143" s="21">
        <f t="shared" si="34"/>
        <v>37144.963607942023</v>
      </c>
      <c r="I143" s="21">
        <f t="shared" si="35"/>
        <v>11454398.647914892</v>
      </c>
      <c r="J143" s="23">
        <f t="shared" si="38"/>
        <v>4804067.7963219387</v>
      </c>
      <c r="K143" s="22">
        <f t="shared" si="36"/>
        <v>1.3843124480225986</v>
      </c>
      <c r="L143" s="22">
        <f>IFERROR((1+K143)/VLOOKUP(B143,'Исходные данные'!$A$4:$G$24,6,FALSE)-1,"")</f>
        <v>-0.4109748918947691</v>
      </c>
      <c r="M143" s="20">
        <f t="shared" si="37"/>
        <v>4.9456931503526702E-2</v>
      </c>
    </row>
    <row r="144" spans="1:13" x14ac:dyDescent="0.25">
      <c r="A144" s="27" t="s">
        <v>43</v>
      </c>
      <c r="B144" s="25">
        <f>'Исходные данные'!$A22</f>
        <v>2022</v>
      </c>
      <c r="C144" s="39">
        <f>IF(AND(Таблица11[[#This Row],[Год]]&gt;=Настройки!$B$4, Таблица11[[#This Row],[Год]]&lt;=Настройки!$B$5),IFERROR(VLOOKUP(Таблица11[[#This Row],[Год]],Данные[#All],9,FALSE),0),0)</f>
        <v>465508.0534760718</v>
      </c>
      <c r="D144" s="19">
        <f>VLOOKUP($A$126,Настройки!$L$2:$N$13,2,FALSE)</f>
        <v>0.2</v>
      </c>
      <c r="E144" s="19">
        <f>VLOOKUP($A$126,Настройки!$L$2:$N$13,3,FALSE)</f>
        <v>0.8</v>
      </c>
      <c r="F144" s="20">
        <f>D144*VLOOKUP(B144,'Исходные данные'!$A$4:$G$24,2,FALSE)+E144*VLOOKUP(B144,'Исходные данные'!$A$4:$G$24,3,FALSE)+(1-D144-E144)*VLOOKUP(B144,'Исходные данные'!$A$4:$G$24,4,FALSE)</f>
        <v>-4.3896656810900561E-2</v>
      </c>
      <c r="G144" s="40">
        <f t="shared" si="39"/>
        <v>11454398.647914892</v>
      </c>
      <c r="H144" s="21">
        <f t="shared" si="34"/>
        <v>-523244.05368891289</v>
      </c>
      <c r="I144" s="21">
        <f t="shared" si="35"/>
        <v>11396662.647702049</v>
      </c>
      <c r="J144" s="23">
        <f t="shared" si="38"/>
        <v>5269575.8497980107</v>
      </c>
      <c r="K144" s="22">
        <f t="shared" si="36"/>
        <v>1.1627286469629046</v>
      </c>
      <c r="L144" s="22">
        <f>IFERROR((1+K144)/VLOOKUP(B144,'Исходные данные'!$A$4:$G$24,6,FALSE)-1,"")</f>
        <v>-0.52270446487019184</v>
      </c>
      <c r="M144" s="20">
        <f t="shared" si="37"/>
        <v>4.1433841322303655E-2</v>
      </c>
    </row>
    <row r="145" spans="1:14" x14ac:dyDescent="0.25">
      <c r="A145" s="27" t="s">
        <v>43</v>
      </c>
      <c r="B145" s="25">
        <f>'Исходные данные'!$A23</f>
        <v>2023</v>
      </c>
      <c r="C145" s="39">
        <f>IF(AND(Таблица11[[#This Row],[Год]]&gt;=Настройки!$B$4, Таблица11[[#This Row],[Год]]&lt;=Настройки!$B$5),IFERROR(VLOOKUP(Таблица11[[#This Row],[Год]],Данные[#All],9,FALSE),0),0)</f>
        <v>521089.71506111475</v>
      </c>
      <c r="D145" s="19">
        <f>VLOOKUP($A$126,Настройки!$L$2:$N$13,2,FALSE)</f>
        <v>0.2</v>
      </c>
      <c r="E145" s="19">
        <f>VLOOKUP($A$126,Настройки!$L$2:$N$13,3,FALSE)</f>
        <v>0.8</v>
      </c>
      <c r="F145" s="20">
        <f>D145*VLOOKUP(B145,'Исходные данные'!$A$4:$G$24,2,FALSE)+E145*VLOOKUP(B145,'Исходные данные'!$A$4:$G$24,3,FALSE)+(1-D145-E145)*VLOOKUP(B145,'Исходные данные'!$A$4:$G$24,4,FALSE)</f>
        <v>0.11375133466952984</v>
      </c>
      <c r="G145" s="40">
        <f t="shared" si="39"/>
        <v>11396662.647702049</v>
      </c>
      <c r="H145" s="21">
        <f t="shared" si="34"/>
        <v>1355660.2375252529</v>
      </c>
      <c r="I145" s="21">
        <f t="shared" si="35"/>
        <v>13273412.600288417</v>
      </c>
      <c r="J145" s="23">
        <f t="shared" si="38"/>
        <v>5790665.5648591258</v>
      </c>
      <c r="K145" s="22">
        <f t="shared" si="36"/>
        <v>1.2922084606022883</v>
      </c>
      <c r="L145" s="22">
        <f>IFERROR((1+K145)/VLOOKUP(B145,'Исходные данные'!$A$4:$G$24,6,FALSE)-1,"")</f>
        <v>-0.52907222880606786</v>
      </c>
      <c r="M145" s="20">
        <f t="shared" si="37"/>
        <v>4.2347923494295392E-2</v>
      </c>
    </row>
    <row r="146" spans="1:14" x14ac:dyDescent="0.25">
      <c r="A146" s="32" t="s">
        <v>43</v>
      </c>
      <c r="B146" s="33">
        <f>'Исходные данные'!$A24</f>
        <v>2024</v>
      </c>
      <c r="C146" s="39">
        <f>IF(AND(Таблица11[[#This Row],[Год]]&gt;=Настройки!$B$4, Таблица11[[#This Row],[Год]]&lt;=Настройки!$B$5),IFERROR(VLOOKUP(Таблица11[[#This Row],[Год]],Данные[#All],9,FALSE),0),0)</f>
        <v>559754.57191864948</v>
      </c>
      <c r="D146" s="34">
        <f>VLOOKUP($A$126,Настройки!$L$2:$N$13,2,FALSE)</f>
        <v>0.2</v>
      </c>
      <c r="E146" s="34">
        <f>VLOOKUP($A$126,Настройки!$L$2:$N$13,3,FALSE)</f>
        <v>0.8</v>
      </c>
      <c r="F146" s="35">
        <f>D146*VLOOKUP(B146,'Исходные данные'!$A$4:$G$24,2,FALSE)+E146*VLOOKUP(B146,'Исходные данные'!$A$4:$G$24,3,FALSE)+(1-D146-E146)*VLOOKUP(B146,'Исходные данные'!$A$4:$G$24,4,FALSE)</f>
        <v>-6.5970466436449812E-2</v>
      </c>
      <c r="G146" s="41">
        <f t="shared" si="39"/>
        <v>13273412.600288417</v>
      </c>
      <c r="H146" s="36">
        <f t="shared" si="34"/>
        <v>-912580.49064388569</v>
      </c>
      <c r="I146" s="36">
        <f t="shared" si="35"/>
        <v>12920586.681563182</v>
      </c>
      <c r="J146" s="37">
        <f t="shared" si="38"/>
        <v>6350420.1367777754</v>
      </c>
      <c r="K146" s="22">
        <f t="shared" si="36"/>
        <v>1.0346034440674237</v>
      </c>
      <c r="L146" s="22">
        <f>IFERROR((1+K146)/VLOOKUP(B146,'Исходные данные'!$A$4:$G$24,6,FALSE)-1,"")</f>
        <v>-0.61833131281289599</v>
      </c>
      <c r="M146" s="20">
        <f t="shared" si="37"/>
        <v>3.4402384744934844E-2</v>
      </c>
    </row>
    <row r="149" spans="1:14" ht="30" x14ac:dyDescent="0.25">
      <c r="A149" s="28" t="s">
        <v>50</v>
      </c>
      <c r="B149" s="29" t="s">
        <v>10</v>
      </c>
      <c r="C149" s="28" t="s">
        <v>37</v>
      </c>
      <c r="D149" s="30" t="s">
        <v>53</v>
      </c>
      <c r="E149" s="30" t="s">
        <v>54</v>
      </c>
      <c r="F149" s="30" t="s">
        <v>55</v>
      </c>
      <c r="G149" s="30" t="s">
        <v>56</v>
      </c>
      <c r="H149" s="30" t="s">
        <v>57</v>
      </c>
      <c r="I149" s="30" t="s">
        <v>80</v>
      </c>
      <c r="J149" s="30" t="s">
        <v>79</v>
      </c>
      <c r="K149" s="30" t="s">
        <v>38</v>
      </c>
      <c r="L149" s="30" t="s">
        <v>83</v>
      </c>
      <c r="M149" s="31" t="s">
        <v>59</v>
      </c>
    </row>
    <row r="150" spans="1:14" x14ac:dyDescent="0.25">
      <c r="A150" s="27" t="s">
        <v>44</v>
      </c>
      <c r="B150" s="25">
        <f>'Исходные данные'!$A4</f>
        <v>2004</v>
      </c>
      <c r="C150" s="39">
        <f>IF(AND(Таблица10[[#This Row],[Год]]&gt;=Настройки!$B$4, Таблица10[[#This Row],[Год]]&lt;=Настройки!$B$5),IFERROR(VLOOKUP(Таблица10[[#This Row],[Год]],Данные[#All],9,FALSE),0),0)</f>
        <v>115000</v>
      </c>
      <c r="D150" s="19">
        <f>VLOOKUP($A$150,Настройки!$L$2:$N$13,2,FALSE)</f>
        <v>0.3</v>
      </c>
      <c r="E150" s="19">
        <f>VLOOKUP($A$150,Настройки!$L$2:$N$13,3,FALSE)</f>
        <v>0.7</v>
      </c>
      <c r="F150" s="20">
        <f>D150*VLOOKUP(B150,'Исходные данные'!$A$4:$G$24,2,FALSE)+E150*VLOOKUP(B150,'Исходные данные'!$A$4:$G$24,3,FALSE)+(1-D150-E150)*VLOOKUP(B150,'Исходные данные'!$A$4:$G$24,4,FALSE)</f>
        <v>9.8093909029135035E-2</v>
      </c>
      <c r="G150" s="39">
        <f>0</f>
        <v>0</v>
      </c>
      <c r="H150" s="21">
        <f>(G150+C150)*F150</f>
        <v>11280.799538350529</v>
      </c>
      <c r="I150" s="21">
        <f>G150+C150+H150</f>
        <v>126280.79953835053</v>
      </c>
      <c r="J150" s="21">
        <f>C150</f>
        <v>115000</v>
      </c>
      <c r="K150" s="22">
        <f>IFERROR((I150-J150)/J150,"")</f>
        <v>9.8093909029135076E-2</v>
      </c>
      <c r="L150" s="22">
        <f>IFERROR((1+K150)/VLOOKUP(B150,'Исходные данные'!$A$4:$G$24,6,FALSE)-1,"")</f>
        <v>-1.7277690147543323E-2</v>
      </c>
      <c r="M150" s="20">
        <f>IFERROR((I150/J150)^(1/(B150-$B$150+1))-1,"")</f>
        <v>9.8093909029135062E-2</v>
      </c>
    </row>
    <row r="151" spans="1:14" x14ac:dyDescent="0.25">
      <c r="A151" s="27" t="s">
        <v>44</v>
      </c>
      <c r="B151" s="25">
        <f>'Исходные данные'!$A5</f>
        <v>2005</v>
      </c>
      <c r="C151" s="39">
        <f>IF(AND(Таблица10[[#This Row],[Год]]&gt;=Настройки!$B$4, Таблица10[[#This Row],[Год]]&lt;=Настройки!$B$5),IFERROR(VLOOKUP(Таблица10[[#This Row],[Год]],Данные[#All],9,FALSE),0),0)</f>
        <v>128501</v>
      </c>
      <c r="D151" s="19">
        <f>VLOOKUP($A$150,Настройки!$L$2:$N$13,2,FALSE)</f>
        <v>0.3</v>
      </c>
      <c r="E151" s="19">
        <f>VLOOKUP($A$150,Настройки!$L$2:$N$13,3,FALSE)</f>
        <v>0.7</v>
      </c>
      <c r="F151" s="20">
        <f>D151*VLOOKUP(B151,'Исходные данные'!$A$4:$G$24,2,FALSE)+E151*VLOOKUP(B151,'Исходные данные'!$A$4:$G$24,3,FALSE)+(1-D151-E151)*VLOOKUP(B151,'Исходные данные'!$A$4:$G$24,4,FALSE)</f>
        <v>0.33611668686412532</v>
      </c>
      <c r="G151" s="40">
        <f>I150</f>
        <v>126280.79953835053</v>
      </c>
      <c r="H151" s="21">
        <f t="shared" ref="H151:H170" si="40">(G151+C151)*F151</f>
        <v>85636.414334110115</v>
      </c>
      <c r="I151" s="21">
        <f t="shared" ref="I151:I170" si="41">G151+C151+H151</f>
        <v>340418.21387246065</v>
      </c>
      <c r="J151" s="23">
        <f>J150+C151</f>
        <v>243501</v>
      </c>
      <c r="K151" s="22">
        <f t="shared" ref="K151:K170" si="42">IFERROR((I151-J151)/J151,"")</f>
        <v>0.39801567086977324</v>
      </c>
      <c r="L151" s="22">
        <f>IFERROR((1+K151)/VLOOKUP(B151,'Исходные данные'!$A$4:$G$24,6,FALSE)-1,"")</f>
        <v>0.12806121426550976</v>
      </c>
      <c r="M151" s="20">
        <f t="shared" ref="M151:M170" si="43">IFERROR((I151/J151)^(1/(B151-$B$150+1))-1,"")</f>
        <v>0.18237712717633925</v>
      </c>
      <c r="N151" s="24"/>
    </row>
    <row r="152" spans="1:14" x14ac:dyDescent="0.25">
      <c r="A152" s="27" t="s">
        <v>44</v>
      </c>
      <c r="B152" s="25">
        <f>'Исходные данные'!$A6</f>
        <v>2006</v>
      </c>
      <c r="C152" s="39">
        <f>IF(AND(Таблица10[[#This Row],[Год]]&gt;=Настройки!$B$4, Таблица10[[#This Row],[Год]]&lt;=Настройки!$B$5),IFERROR(VLOOKUP(Таблица10[[#This Row],[Год]],Данные[#All],9,FALSE),0),0)</f>
        <v>142520.45910000001</v>
      </c>
      <c r="D152" s="19">
        <f>VLOOKUP($A$150,Настройки!$L$2:$N$13,2,FALSE)</f>
        <v>0.3</v>
      </c>
      <c r="E152" s="19">
        <f>VLOOKUP($A$150,Настройки!$L$2:$N$13,3,FALSE)</f>
        <v>0.7</v>
      </c>
      <c r="F152" s="20">
        <f>D152*VLOOKUP(B152,'Исходные данные'!$A$4:$G$24,2,FALSE)+E152*VLOOKUP(B152,'Исходные данные'!$A$4:$G$24,3,FALSE)+(1-D152-E152)*VLOOKUP(B152,'Исходные данные'!$A$4:$G$24,4,FALSE)</f>
        <v>0.25747872412814854</v>
      </c>
      <c r="G152" s="40">
        <f>I151</f>
        <v>340418.21387246065</v>
      </c>
      <c r="H152" s="21">
        <f t="shared" si="40"/>
        <v>124346.43334909034</v>
      </c>
      <c r="I152" s="21">
        <f t="shared" si="41"/>
        <v>607285.10632155091</v>
      </c>
      <c r="J152" s="23">
        <f t="shared" ref="J152:J170" si="44">J151+C152</f>
        <v>386021.45909999998</v>
      </c>
      <c r="K152" s="22">
        <f t="shared" si="42"/>
        <v>0.57319001834100614</v>
      </c>
      <c r="L152" s="22">
        <f>IFERROR((1+K152)/VLOOKUP(B152,'Исходные данные'!$A$4:$G$24,6,FALSE)-1,"")</f>
        <v>0.16459604783121384</v>
      </c>
      <c r="M152" s="20">
        <f t="shared" si="43"/>
        <v>0.16303752523973269</v>
      </c>
    </row>
    <row r="153" spans="1:14" x14ac:dyDescent="0.25">
      <c r="A153" s="27" t="s">
        <v>44</v>
      </c>
      <c r="B153" s="25">
        <f>'Исходные данные'!$A7</f>
        <v>2007</v>
      </c>
      <c r="C153" s="39">
        <f>IF(AND(Таблица10[[#This Row],[Год]]&gt;=Настройки!$B$4, Таблица10[[#This Row],[Год]]&lt;=Настройки!$B$5),IFERROR(VLOOKUP(Таблица10[[#This Row],[Год]],Данные[#All],9,FALSE),0),0)</f>
        <v>155347.30041900001</v>
      </c>
      <c r="D153" s="19">
        <f>VLOOKUP($A$150,Настройки!$L$2:$N$13,2,FALSE)</f>
        <v>0.3</v>
      </c>
      <c r="E153" s="19">
        <f>VLOOKUP($A$150,Настройки!$L$2:$N$13,3,FALSE)</f>
        <v>0.7</v>
      </c>
      <c r="F153" s="20">
        <f>D153*VLOOKUP(B153,'Исходные данные'!$A$4:$G$24,2,FALSE)+E153*VLOOKUP(B153,'Исходные данные'!$A$4:$G$24,3,FALSE)+(1-D153-E153)*VLOOKUP(B153,'Исходные данные'!$A$4:$G$24,4,FALSE)</f>
        <v>8.9773047007287887E-2</v>
      </c>
      <c r="G153" s="40">
        <f t="shared" ref="G153:G170" si="45">I152</f>
        <v>607285.10632155091</v>
      </c>
      <c r="H153" s="21">
        <f t="shared" si="40"/>
        <v>68463.834899600566</v>
      </c>
      <c r="I153" s="21">
        <f t="shared" si="41"/>
        <v>831096.24164015148</v>
      </c>
      <c r="J153" s="23">
        <f t="shared" si="44"/>
        <v>541368.75951899996</v>
      </c>
      <c r="K153" s="22">
        <f t="shared" si="42"/>
        <v>0.53517584276301999</v>
      </c>
      <c r="L153" s="22">
        <f>IFERROR((1+K153)/VLOOKUP(B153,'Исходные данные'!$A$4:$G$24,6,FALSE)-1,"")</f>
        <v>1.5871132723225267E-2</v>
      </c>
      <c r="M153" s="20">
        <f t="shared" si="43"/>
        <v>0.11311371012487381</v>
      </c>
    </row>
    <row r="154" spans="1:14" x14ac:dyDescent="0.25">
      <c r="A154" s="27" t="s">
        <v>44</v>
      </c>
      <c r="B154" s="25">
        <f>'Исходные данные'!$A8</f>
        <v>2008</v>
      </c>
      <c r="C154" s="39">
        <f>IF(AND(Таблица10[[#This Row],[Год]]&gt;=Настройки!$B$4, Таблица10[[#This Row],[Год]]&lt;=Настройки!$B$5),IFERROR(VLOOKUP(Таблица10[[#This Row],[Год]],Данные[#All],9,FALSE),0),0)</f>
        <v>173787.02497873531</v>
      </c>
      <c r="D154" s="19">
        <f>VLOOKUP($A$150,Настройки!$L$2:$N$13,2,FALSE)</f>
        <v>0.3</v>
      </c>
      <c r="E154" s="19">
        <f>VLOOKUP($A$150,Настройки!$L$2:$N$13,3,FALSE)</f>
        <v>0.7</v>
      </c>
      <c r="F154" s="20">
        <f>D154*VLOOKUP(B154,'Исходные данные'!$A$4:$G$24,2,FALSE)+E154*VLOOKUP(B154,'Исходные данные'!$A$4:$G$24,3,FALSE)+(1-D154-E154)*VLOOKUP(B154,'Исходные данные'!$A$4:$G$24,4,FALSE)</f>
        <v>-0.23870141468349201</v>
      </c>
      <c r="G154" s="40">
        <f t="shared" si="45"/>
        <v>831096.24164015148</v>
      </c>
      <c r="H154" s="21">
        <f t="shared" si="40"/>
        <v>-239867.05733369695</v>
      </c>
      <c r="I154" s="21">
        <f t="shared" si="41"/>
        <v>765016.20928518975</v>
      </c>
      <c r="J154" s="23">
        <f t="shared" si="44"/>
        <v>715155.78449773532</v>
      </c>
      <c r="K154" s="22">
        <f t="shared" si="42"/>
        <v>6.9719669292016076E-2</v>
      </c>
      <c r="L154" s="22">
        <f>IFERROR((1+K154)/VLOOKUP(B154,'Исходные данные'!$A$4:$G$24,6,FALSE)-1,"")</f>
        <v>-0.37511912531003033</v>
      </c>
      <c r="M154" s="20">
        <f t="shared" si="43"/>
        <v>1.3570580222382E-2</v>
      </c>
    </row>
    <row r="155" spans="1:14" x14ac:dyDescent="0.25">
      <c r="A155" s="27" t="s">
        <v>44</v>
      </c>
      <c r="B155" s="25">
        <f>'Исходные данные'!$A9</f>
        <v>2009</v>
      </c>
      <c r="C155" s="39">
        <f>IF(AND(Таблица10[[#This Row],[Год]]&gt;=Настройки!$B$4, Таблица10[[#This Row],[Год]]&lt;=Настройки!$B$5),IFERROR(VLOOKUP(Таблица10[[#This Row],[Год]],Данные[#All],9,FALSE),0),0)</f>
        <v>196865.94189591135</v>
      </c>
      <c r="D155" s="19">
        <f>VLOOKUP($A$150,Настройки!$L$2:$N$13,2,FALSE)</f>
        <v>0.3</v>
      </c>
      <c r="E155" s="19">
        <f>VLOOKUP($A$150,Настройки!$L$2:$N$13,3,FALSE)</f>
        <v>0.7</v>
      </c>
      <c r="F155" s="20">
        <f>D155*VLOOKUP(B155,'Исходные данные'!$A$4:$G$24,2,FALSE)+E155*VLOOKUP(B155,'Исходные данные'!$A$4:$G$24,3,FALSE)+(1-D155-E155)*VLOOKUP(B155,'Исходные данные'!$A$4:$G$24,4,FALSE)</f>
        <v>0.62562531060242121</v>
      </c>
      <c r="G155" s="40">
        <f t="shared" si="45"/>
        <v>765016.20928518975</v>
      </c>
      <c r="H155" s="21">
        <f t="shared" si="40"/>
        <v>601777.81959560141</v>
      </c>
      <c r="I155" s="21">
        <f t="shared" si="41"/>
        <v>1563659.9707767025</v>
      </c>
      <c r="J155" s="23">
        <f t="shared" si="44"/>
        <v>912021.72639364668</v>
      </c>
      <c r="K155" s="22">
        <f t="shared" si="42"/>
        <v>0.71449859748384525</v>
      </c>
      <c r="L155" s="22">
        <f>IFERROR((1+K155)/VLOOKUP(B155,'Исходные данные'!$A$4:$G$24,6,FALSE)-1,"")</f>
        <v>-7.9475206897942186E-2</v>
      </c>
      <c r="M155" s="20">
        <f t="shared" si="43"/>
        <v>9.4013939634344457E-2</v>
      </c>
    </row>
    <row r="156" spans="1:14" x14ac:dyDescent="0.25">
      <c r="A156" s="27" t="s">
        <v>44</v>
      </c>
      <c r="B156" s="25">
        <f>'Исходные данные'!$A10</f>
        <v>2010</v>
      </c>
      <c r="C156" s="39">
        <f>IF(AND(Таблица10[[#This Row],[Год]]&gt;=Настройки!$B$4, Таблица10[[#This Row],[Год]]&lt;=Настройки!$B$5),IFERROR(VLOOKUP(Таблица10[[#This Row],[Год]],Данные[#All],9,FALSE),0),0)</f>
        <v>214190.14478275157</v>
      </c>
      <c r="D156" s="19">
        <f>VLOOKUP($A$150,Настройки!$L$2:$N$13,2,FALSE)</f>
        <v>0.3</v>
      </c>
      <c r="E156" s="19">
        <f>VLOOKUP($A$150,Настройки!$L$2:$N$13,3,FALSE)</f>
        <v>0.7</v>
      </c>
      <c r="F156" s="20">
        <f>D156*VLOOKUP(B156,'Исходные данные'!$A$4:$G$24,2,FALSE)+E156*VLOOKUP(B156,'Исходные данные'!$A$4:$G$24,3,FALSE)+(1-D156-E156)*VLOOKUP(B156,'Исходные данные'!$A$4:$G$24,4,FALSE)</f>
        <v>0.15388665945803043</v>
      </c>
      <c r="G156" s="40">
        <f t="shared" si="45"/>
        <v>1563659.9707767025</v>
      </c>
      <c r="H156" s="21">
        <f t="shared" si="40"/>
        <v>273587.41530051775</v>
      </c>
      <c r="I156" s="21">
        <f t="shared" si="41"/>
        <v>2051437.5308599719</v>
      </c>
      <c r="J156" s="23">
        <f t="shared" si="44"/>
        <v>1126211.8711763984</v>
      </c>
      <c r="K156" s="22">
        <f t="shared" si="42"/>
        <v>0.821537832590166</v>
      </c>
      <c r="L156" s="22">
        <f>IFERROR((1+K156)/VLOOKUP(B156,'Исходные данные'!$A$4:$G$24,6,FALSE)-1,"")</f>
        <v>-0.10094244004240005</v>
      </c>
      <c r="M156" s="20">
        <f t="shared" si="43"/>
        <v>8.9445367528850683E-2</v>
      </c>
    </row>
    <row r="157" spans="1:14" x14ac:dyDescent="0.25">
      <c r="A157" s="27" t="s">
        <v>44</v>
      </c>
      <c r="B157" s="25">
        <f>'Исходные данные'!$A11</f>
        <v>2011</v>
      </c>
      <c r="C157" s="39">
        <f>IF(AND(Таблица10[[#This Row],[Год]]&gt;=Настройки!$B$4, Таблица10[[#This Row],[Год]]&lt;=Настройки!$B$5),IFERROR(VLOOKUP(Таблица10[[#This Row],[Год]],Данные[#All],9,FALSE),0),0)</f>
        <v>232996.03949467718</v>
      </c>
      <c r="D157" s="19">
        <f>VLOOKUP($A$150,Настройки!$L$2:$N$13,2,FALSE)</f>
        <v>0.3</v>
      </c>
      <c r="E157" s="19">
        <f>VLOOKUP($A$150,Настройки!$L$2:$N$13,3,FALSE)</f>
        <v>0.7</v>
      </c>
      <c r="F157" s="20">
        <f>D157*VLOOKUP(B157,'Исходные данные'!$A$4:$G$24,2,FALSE)+E157*VLOOKUP(B157,'Исходные данные'!$A$4:$G$24,3,FALSE)+(1-D157-E157)*VLOOKUP(B157,'Исходные данные'!$A$4:$G$24,4,FALSE)</f>
        <v>-2.8059038354885588E-3</v>
      </c>
      <c r="G157" s="40">
        <f t="shared" si="45"/>
        <v>2051437.5308599719</v>
      </c>
      <c r="H157" s="21">
        <f t="shared" si="40"/>
        <v>-6409.9009169769315</v>
      </c>
      <c r="I157" s="21">
        <f t="shared" si="41"/>
        <v>2278023.669437672</v>
      </c>
      <c r="J157" s="23">
        <f t="shared" si="44"/>
        <v>1359207.9106710756</v>
      </c>
      <c r="K157" s="22">
        <f t="shared" si="42"/>
        <v>0.67599353384645455</v>
      </c>
      <c r="L157" s="22">
        <f>IFERROR((1+K157)/VLOOKUP(B157,'Исходные данные'!$A$4:$G$24,6,FALSE)-1,"")</f>
        <v>-0.22033819982691383</v>
      </c>
      <c r="M157" s="20">
        <f t="shared" si="43"/>
        <v>6.6679730061997677E-2</v>
      </c>
    </row>
    <row r="158" spans="1:14" x14ac:dyDescent="0.25">
      <c r="A158" s="27" t="s">
        <v>44</v>
      </c>
      <c r="B158" s="25">
        <f>'Исходные данные'!$A12</f>
        <v>2012</v>
      </c>
      <c r="C158" s="39">
        <f>IF(AND(Таблица10[[#This Row],[Год]]&gt;=Настройки!$B$4, Таблица10[[#This Row],[Год]]&lt;=Настройки!$B$5),IFERROR(VLOOKUP(Таблица10[[#This Row],[Год]],Данные[#All],9,FALSE),0),0)</f>
        <v>247208.79790385248</v>
      </c>
      <c r="D158" s="19">
        <f>VLOOKUP($A$150,Настройки!$L$2:$N$13,2,FALSE)</f>
        <v>0.3</v>
      </c>
      <c r="E158" s="19">
        <f>VLOOKUP($A$150,Настройки!$L$2:$N$13,3,FALSE)</f>
        <v>0.7</v>
      </c>
      <c r="F158" s="20">
        <f>D158*VLOOKUP(B158,'Исходные данные'!$A$4:$G$24,2,FALSE)+E158*VLOOKUP(B158,'Исходные данные'!$A$4:$G$24,3,FALSE)+(1-D158-E158)*VLOOKUP(B158,'Исходные данные'!$A$4:$G$24,4,FALSE)</f>
        <v>0.12882610900947924</v>
      </c>
      <c r="G158" s="40">
        <f t="shared" si="45"/>
        <v>2278023.669437672</v>
      </c>
      <c r="H158" s="21">
        <f t="shared" si="40"/>
        <v>325315.87311201548</v>
      </c>
      <c r="I158" s="21">
        <f t="shared" si="41"/>
        <v>2850548.34045354</v>
      </c>
      <c r="J158" s="23">
        <f t="shared" si="44"/>
        <v>1606416.7085749281</v>
      </c>
      <c r="K158" s="22">
        <f t="shared" si="42"/>
        <v>0.77447627706904032</v>
      </c>
      <c r="L158" s="22">
        <f>IFERROR((1+K158)/VLOOKUP(B158,'Исходные данные'!$A$4:$G$24,6,FALSE)-1,"")</f>
        <v>-0.22548755705456802</v>
      </c>
      <c r="M158" s="20">
        <f t="shared" si="43"/>
        <v>6.5796933614058473E-2</v>
      </c>
    </row>
    <row r="159" spans="1:14" x14ac:dyDescent="0.25">
      <c r="A159" s="27" t="s">
        <v>44</v>
      </c>
      <c r="B159" s="25">
        <f>'Исходные данные'!$A13</f>
        <v>2013</v>
      </c>
      <c r="C159" s="39">
        <f>IF(AND(Таблица10[[#This Row],[Год]]&gt;=Настройки!$B$4, Таблица10[[#This Row],[Год]]&lt;=Настройки!$B$5),IFERROR(VLOOKUP(Таблица10[[#This Row],[Год]],Данные[#All],9,FALSE),0),0)</f>
        <v>263475.13680592598</v>
      </c>
      <c r="D159" s="19">
        <f>VLOOKUP($A$150,Настройки!$L$2:$N$13,2,FALSE)</f>
        <v>0.3</v>
      </c>
      <c r="E159" s="19">
        <f>VLOOKUP($A$150,Настройки!$L$2:$N$13,3,FALSE)</f>
        <v>0.7</v>
      </c>
      <c r="F159" s="20">
        <f>D159*VLOOKUP(B159,'Исходные данные'!$A$4:$G$24,2,FALSE)+E159*VLOOKUP(B159,'Исходные данные'!$A$4:$G$24,3,FALSE)+(1-D159-E159)*VLOOKUP(B159,'Исходные данные'!$A$4:$G$24,4,FALSE)</f>
        <v>4.5559065497702278E-2</v>
      </c>
      <c r="G159" s="40">
        <f t="shared" si="45"/>
        <v>2850548.34045354</v>
      </c>
      <c r="H159" s="21">
        <f t="shared" si="40"/>
        <v>141871.99956184661</v>
      </c>
      <c r="I159" s="21">
        <f t="shared" si="41"/>
        <v>3255895.4768213127</v>
      </c>
      <c r="J159" s="23">
        <f t="shared" si="44"/>
        <v>1869891.8453808541</v>
      </c>
      <c r="K159" s="22">
        <f t="shared" si="42"/>
        <v>0.74122128232403806</v>
      </c>
      <c r="L159" s="22">
        <f>IFERROR((1+K159)/VLOOKUP(B159,'Исходные данные'!$A$4:$G$24,6,FALSE)-1,"")</f>
        <v>-0.2860521293716265</v>
      </c>
      <c r="M159" s="20">
        <f t="shared" si="43"/>
        <v>5.7025334958598517E-2</v>
      </c>
    </row>
    <row r="160" spans="1:14" x14ac:dyDescent="0.25">
      <c r="A160" s="27" t="s">
        <v>44</v>
      </c>
      <c r="B160" s="25">
        <f>'Исходные данные'!$A14</f>
        <v>2014</v>
      </c>
      <c r="C160" s="39">
        <f>IF(AND(Таблица10[[#This Row],[Год]]&gt;=Настройки!$B$4, Таблица10[[#This Row],[Год]]&lt;=Настройки!$B$5),IFERROR(VLOOKUP(Таблица10[[#This Row],[Год]],Данные[#All],9,FALSE),0),0)</f>
        <v>280469.2831299082</v>
      </c>
      <c r="D160" s="19">
        <f>VLOOKUP($A$150,Настройки!$L$2:$N$13,2,FALSE)</f>
        <v>0.3</v>
      </c>
      <c r="E160" s="19">
        <f>VLOOKUP($A$150,Настройки!$L$2:$N$13,3,FALSE)</f>
        <v>0.7</v>
      </c>
      <c r="F160" s="20">
        <f>D160*VLOOKUP(B160,'Исходные данные'!$A$4:$G$24,2,FALSE)+E160*VLOOKUP(B160,'Исходные данные'!$A$4:$G$24,3,FALSE)+(1-D160-E160)*VLOOKUP(B160,'Исходные данные'!$A$4:$G$24,4,FALSE)</f>
        <v>-0.10601947618007757</v>
      </c>
      <c r="G160" s="40">
        <f t="shared" si="45"/>
        <v>3255895.4768213127</v>
      </c>
      <c r="H160" s="21">
        <f t="shared" si="40"/>
        <v>-374923.53943171416</v>
      </c>
      <c r="I160" s="21">
        <f t="shared" si="41"/>
        <v>3161441.2205195068</v>
      </c>
      <c r="J160" s="23">
        <f t="shared" si="44"/>
        <v>2150361.1285107625</v>
      </c>
      <c r="K160" s="22">
        <f t="shared" si="42"/>
        <v>0.47019083381077031</v>
      </c>
      <c r="L160" s="22">
        <f>IFERROR((1+K160)/VLOOKUP(B160,'Исходные данные'!$A$4:$G$24,6,FALSE)-1,"")</f>
        <v>-0.45867632149358761</v>
      </c>
      <c r="M160" s="20">
        <f t="shared" si="43"/>
        <v>3.565663507025163E-2</v>
      </c>
    </row>
    <row r="161" spans="1:14" x14ac:dyDescent="0.25">
      <c r="A161" s="27" t="s">
        <v>44</v>
      </c>
      <c r="B161" s="25">
        <f>'Исходные данные'!$A15</f>
        <v>2015</v>
      </c>
      <c r="C161" s="39">
        <f>IF(AND(Таблица10[[#This Row],[Год]]&gt;=Настройки!$B$4, Таблица10[[#This Row],[Год]]&lt;=Настройки!$B$5),IFERROR(VLOOKUP(Таблица10[[#This Row],[Год]],Данные[#All],9,FALSE),0),0)</f>
        <v>312330.59369346575</v>
      </c>
      <c r="D161" s="19">
        <f>VLOOKUP($A$150,Настройки!$L$2:$N$13,2,FALSE)</f>
        <v>0.3</v>
      </c>
      <c r="E161" s="19">
        <f>VLOOKUP($A$150,Настройки!$L$2:$N$13,3,FALSE)</f>
        <v>0.7</v>
      </c>
      <c r="F161" s="20">
        <f>D161*VLOOKUP(B161,'Исходные данные'!$A$4:$G$24,2,FALSE)+E161*VLOOKUP(B161,'Исходные данные'!$A$4:$G$24,3,FALSE)+(1-D161-E161)*VLOOKUP(B161,'Исходные данные'!$A$4:$G$24,4,FALSE)</f>
        <v>0.30371393033321337</v>
      </c>
      <c r="G161" s="40">
        <f t="shared" si="45"/>
        <v>3161441.2205195068</v>
      </c>
      <c r="H161" s="21">
        <f t="shared" si="40"/>
        <v>1055032.890775359</v>
      </c>
      <c r="I161" s="21">
        <f t="shared" si="41"/>
        <v>4528804.7049883315</v>
      </c>
      <c r="J161" s="23">
        <f t="shared" si="44"/>
        <v>2462691.7222042284</v>
      </c>
      <c r="K161" s="22">
        <f t="shared" si="42"/>
        <v>0.83896533380752669</v>
      </c>
      <c r="L161" s="22">
        <f>IFERROR((1+K161)/VLOOKUP(B161,'Исходные данные'!$A$4:$G$24,6,FALSE)-1,"")</f>
        <v>-0.40031325631907155</v>
      </c>
      <c r="M161" s="20">
        <f t="shared" si="43"/>
        <v>5.2077651256709157E-2</v>
      </c>
    </row>
    <row r="162" spans="1:14" x14ac:dyDescent="0.25">
      <c r="A162" s="27" t="s">
        <v>44</v>
      </c>
      <c r="B162" s="25">
        <f>'Исходные данные'!$A16</f>
        <v>2016</v>
      </c>
      <c r="C162" s="39">
        <f>IF(AND(Таблица10[[#This Row],[Год]]&gt;=Настройки!$B$4, Таблица10[[#This Row],[Год]]&lt;=Настройки!$B$5),IFERROR(VLOOKUP(Таблица10[[#This Row],[Год]],Данные[#All],9,FALSE),0),0)</f>
        <v>352652.47333929216</v>
      </c>
      <c r="D162" s="19">
        <f>VLOOKUP($A$150,Настройки!$L$2:$N$13,2,FALSE)</f>
        <v>0.3</v>
      </c>
      <c r="E162" s="19">
        <f>VLOOKUP($A$150,Настройки!$L$2:$N$13,3,FALSE)</f>
        <v>0.7</v>
      </c>
      <c r="F162" s="20">
        <f>D162*VLOOKUP(B162,'Исходные данные'!$A$4:$G$24,2,FALSE)+E162*VLOOKUP(B162,'Исходные данные'!$A$4:$G$24,3,FALSE)+(1-D162-E162)*VLOOKUP(B162,'Исходные данные'!$A$4:$G$24,4,FALSE)</f>
        <v>0.20248879440123208</v>
      </c>
      <c r="G162" s="40">
        <f t="shared" si="45"/>
        <v>4528804.7049883315</v>
      </c>
      <c r="H162" s="21">
        <f t="shared" si="40"/>
        <v>988440.37896080071</v>
      </c>
      <c r="I162" s="21">
        <f t="shared" si="41"/>
        <v>5869897.5572884241</v>
      </c>
      <c r="J162" s="23">
        <f t="shared" si="44"/>
        <v>2815344.1955435206</v>
      </c>
      <c r="K162" s="22">
        <f t="shared" si="42"/>
        <v>1.0849662242293618</v>
      </c>
      <c r="L162" s="22">
        <f>IFERROR((1+K162)/VLOOKUP(B162,'Исходные данные'!$A$4:$G$24,6,FALSE)-1,"")</f>
        <v>-0.35480389648007338</v>
      </c>
      <c r="M162" s="20">
        <f t="shared" si="43"/>
        <v>5.8147179748547329E-2</v>
      </c>
    </row>
    <row r="163" spans="1:14" x14ac:dyDescent="0.25">
      <c r="A163" s="27" t="s">
        <v>44</v>
      </c>
      <c r="B163" s="25">
        <f>'Исходные данные'!$A17</f>
        <v>2017</v>
      </c>
      <c r="C163" s="39">
        <f>IF(AND(Таблица10[[#This Row],[Год]]&gt;=Настройки!$B$4, Таблица10[[#This Row],[Год]]&lt;=Настройки!$B$5),IFERROR(VLOOKUP(Таблица10[[#This Row],[Год]],Данные[#All],9,FALSE),0),0)</f>
        <v>371625.17640494613</v>
      </c>
      <c r="D163" s="19">
        <f>VLOOKUP($A$150,Настройки!$L$2:$N$13,2,FALSE)</f>
        <v>0.3</v>
      </c>
      <c r="E163" s="19">
        <f>VLOOKUP($A$150,Настройки!$L$2:$N$13,3,FALSE)</f>
        <v>0.7</v>
      </c>
      <c r="F163" s="20">
        <f>D163*VLOOKUP(B163,'Исходные данные'!$A$4:$G$24,2,FALSE)+E163*VLOOKUP(B163,'Исходные данные'!$A$4:$G$24,3,FALSE)+(1-D163-E163)*VLOOKUP(B163,'Исходные данные'!$A$4:$G$24,4,FALSE)</f>
        <v>8.8612513929108391E-2</v>
      </c>
      <c r="G163" s="40">
        <f t="shared" si="45"/>
        <v>5869897.5572884241</v>
      </c>
      <c r="H163" s="21">
        <f t="shared" si="40"/>
        <v>553077.0201782505</v>
      </c>
      <c r="I163" s="21">
        <f t="shared" si="41"/>
        <v>6794599.7538716216</v>
      </c>
      <c r="J163" s="23">
        <f t="shared" si="44"/>
        <v>3186969.3719484666</v>
      </c>
      <c r="K163" s="22">
        <f t="shared" si="42"/>
        <v>1.1319940548149989</v>
      </c>
      <c r="L163" s="22">
        <f>IFERROR((1+K163)/VLOOKUP(B163,'Исходные данные'!$A$4:$G$24,6,FALSE)-1,"")</f>
        <v>-0.35646806452309665</v>
      </c>
      <c r="M163" s="20">
        <f t="shared" si="43"/>
        <v>5.5564348367507677E-2</v>
      </c>
    </row>
    <row r="164" spans="1:14" x14ac:dyDescent="0.25">
      <c r="A164" s="27" t="s">
        <v>44</v>
      </c>
      <c r="B164" s="25">
        <f>'Исходные данные'!$A18</f>
        <v>2018</v>
      </c>
      <c r="C164" s="39">
        <f>IF(AND(Таблица10[[#This Row],[Год]]&gt;=Настройки!$B$4, Таблица10[[#This Row],[Год]]&lt;=Настройки!$B$5),IFERROR(VLOOKUP(Таблица10[[#This Row],[Год]],Данные[#All],9,FALSE),0),0)</f>
        <v>380990.13085035072</v>
      </c>
      <c r="D164" s="19">
        <f>VLOOKUP($A$150,Настройки!$L$2:$N$13,2,FALSE)</f>
        <v>0.3</v>
      </c>
      <c r="E164" s="19">
        <f>VLOOKUP($A$150,Настройки!$L$2:$N$13,3,FALSE)</f>
        <v>0.7</v>
      </c>
      <c r="F164" s="20">
        <f>D164*VLOOKUP(B164,'Исходные данные'!$A$4:$G$24,2,FALSE)+E164*VLOOKUP(B164,'Исходные данные'!$A$4:$G$24,3,FALSE)+(1-D164-E164)*VLOOKUP(B164,'Исходные данные'!$A$4:$G$24,4,FALSE)</f>
        <v>7.2111836665297122E-2</v>
      </c>
      <c r="G164" s="40">
        <f t="shared" si="45"/>
        <v>6794599.7538716216</v>
      </c>
      <c r="H164" s="21">
        <f t="shared" si="40"/>
        <v>517444.96574422903</v>
      </c>
      <c r="I164" s="21">
        <f t="shared" si="41"/>
        <v>7693034.8504662011</v>
      </c>
      <c r="J164" s="23">
        <f t="shared" si="44"/>
        <v>3567959.5027988171</v>
      </c>
      <c r="K164" s="22">
        <f t="shared" si="42"/>
        <v>1.1561441054562274</v>
      </c>
      <c r="L164" s="22">
        <f>IFERROR((1+K164)/VLOOKUP(B164,'Исходные данные'!$A$4:$G$24,6,FALSE)-1,"")</f>
        <v>-0.37583052683903873</v>
      </c>
      <c r="M164" s="20">
        <f t="shared" si="43"/>
        <v>5.2555937754044102E-2</v>
      </c>
    </row>
    <row r="165" spans="1:14" x14ac:dyDescent="0.25">
      <c r="A165" s="27" t="s">
        <v>44</v>
      </c>
      <c r="B165" s="25">
        <f>'Исходные данные'!$A19</f>
        <v>2019</v>
      </c>
      <c r="C165" s="39">
        <f>IF(AND(Таблица10[[#This Row],[Год]]&gt;=Настройки!$B$4, Таблица10[[#This Row],[Год]]&lt;=Настройки!$B$5),IFERROR(VLOOKUP(Таблица10[[#This Row],[Год]],Данные[#All],9,FALSE),0),0)</f>
        <v>397258.40943766065</v>
      </c>
      <c r="D165" s="19">
        <f>VLOOKUP($A$150,Настройки!$L$2:$N$13,2,FALSE)</f>
        <v>0.3</v>
      </c>
      <c r="E165" s="19">
        <f>VLOOKUP($A$150,Настройки!$L$2:$N$13,3,FALSE)</f>
        <v>0.7</v>
      </c>
      <c r="F165" s="20">
        <f>D165*VLOOKUP(B165,'Исходные данные'!$A$4:$G$24,2,FALSE)+E165*VLOOKUP(B165,'Исходные данные'!$A$4:$G$24,3,FALSE)+(1-D165-E165)*VLOOKUP(B165,'Исходные данные'!$A$4:$G$24,4,FALSE)</f>
        <v>0.25529648483126222</v>
      </c>
      <c r="G165" s="40">
        <f t="shared" si="45"/>
        <v>7693034.8504662011</v>
      </c>
      <c r="H165" s="21">
        <f t="shared" si="40"/>
        <v>2065423.4305075093</v>
      </c>
      <c r="I165" s="21">
        <f t="shared" si="41"/>
        <v>10155716.690411372</v>
      </c>
      <c r="J165" s="23">
        <f t="shared" si="44"/>
        <v>3965217.9122364777</v>
      </c>
      <c r="K165" s="22">
        <f t="shared" si="42"/>
        <v>1.5612001446556829</v>
      </c>
      <c r="L165" s="22">
        <f>IFERROR((1+K165)/VLOOKUP(B165,'Исходные данные'!$A$4:$G$24,6,FALSE)-1,"")</f>
        <v>-0.28051745450784671</v>
      </c>
      <c r="M165" s="20">
        <f t="shared" si="43"/>
        <v>6.0541627747283222E-2</v>
      </c>
    </row>
    <row r="166" spans="1:14" x14ac:dyDescent="0.25">
      <c r="A166" s="27" t="s">
        <v>44</v>
      </c>
      <c r="B166" s="25">
        <f>'Исходные данные'!$A20</f>
        <v>2020</v>
      </c>
      <c r="C166" s="39">
        <f>IF(AND(Таблица10[[#This Row],[Год]]&gt;=Настройки!$B$4, Таблица10[[#This Row],[Год]]&lt;=Настройки!$B$5),IFERROR(VLOOKUP(Таблица10[[#This Row],[Год]],Данные[#All],9,FALSE),0),0)</f>
        <v>409374.7909255093</v>
      </c>
      <c r="D166" s="19">
        <f>VLOOKUP($A$150,Настройки!$L$2:$N$13,2,FALSE)</f>
        <v>0.3</v>
      </c>
      <c r="E166" s="19">
        <f>VLOOKUP($A$150,Настройки!$L$2:$N$13,3,FALSE)</f>
        <v>0.7</v>
      </c>
      <c r="F166" s="20">
        <f>D166*VLOOKUP(B166,'Исходные данные'!$A$4:$G$24,2,FALSE)+E166*VLOOKUP(B166,'Исходные данные'!$A$4:$G$24,3,FALSE)+(1-D166-E166)*VLOOKUP(B166,'Исходные данные'!$A$4:$G$24,4,FALSE)</f>
        <v>0.1042578120743014</v>
      </c>
      <c r="G166" s="40">
        <f t="shared" si="45"/>
        <v>10155716.690411372</v>
      </c>
      <c r="H166" s="21">
        <f t="shared" si="40"/>
        <v>1101493.3222090232</v>
      </c>
      <c r="I166" s="21">
        <f t="shared" si="41"/>
        <v>11666584.803545903</v>
      </c>
      <c r="J166" s="23">
        <f t="shared" si="44"/>
        <v>4374592.7031619865</v>
      </c>
      <c r="K166" s="22">
        <f t="shared" si="42"/>
        <v>1.6668962335883781</v>
      </c>
      <c r="L166" s="22">
        <f>IFERROR((1+K166)/VLOOKUP(B166,'Исходные данные'!$A$4:$G$24,6,FALSE)-1,"")</f>
        <v>-0.28588858411763574</v>
      </c>
      <c r="M166" s="20">
        <f t="shared" si="43"/>
        <v>5.939808465147034E-2</v>
      </c>
    </row>
    <row r="167" spans="1:14" x14ac:dyDescent="0.25">
      <c r="A167" s="27" t="s">
        <v>44</v>
      </c>
      <c r="B167" s="25">
        <f>'Исходные данные'!$A21</f>
        <v>2021</v>
      </c>
      <c r="C167" s="39">
        <f>IF(AND(Таблица10[[#This Row],[Год]]&gt;=Настройки!$B$4, Таблица10[[#This Row],[Год]]&lt;=Настройки!$B$5),IFERROR(VLOOKUP(Таблица10[[#This Row],[Год]],Данные[#All],9,FALSE),0),0)</f>
        <v>429475.09315995179</v>
      </c>
      <c r="D167" s="19">
        <f>VLOOKUP($A$150,Настройки!$L$2:$N$13,2,FALSE)</f>
        <v>0.3</v>
      </c>
      <c r="E167" s="19">
        <f>VLOOKUP($A$150,Настройки!$L$2:$N$13,3,FALSE)</f>
        <v>0.7</v>
      </c>
      <c r="F167" s="20">
        <f>D167*VLOOKUP(B167,'Исходные данные'!$A$4:$G$24,2,FALSE)+E167*VLOOKUP(B167,'Исходные данные'!$A$4:$G$24,3,FALSE)+(1-D167-E167)*VLOOKUP(B167,'Исходные данные'!$A$4:$G$24,4,FALSE)</f>
        <v>3.0087619936276316E-2</v>
      </c>
      <c r="G167" s="40">
        <f t="shared" si="45"/>
        <v>11666584.803545903</v>
      </c>
      <c r="H167" s="21">
        <f t="shared" si="40"/>
        <v>363941.65289851953</v>
      </c>
      <c r="I167" s="21">
        <f t="shared" si="41"/>
        <v>12460001.549604375</v>
      </c>
      <c r="J167" s="23">
        <f t="shared" si="44"/>
        <v>4804067.7963219387</v>
      </c>
      <c r="K167" s="22">
        <f t="shared" si="42"/>
        <v>1.593635660001286</v>
      </c>
      <c r="L167" s="22">
        <f>IFERROR((1+K167)/VLOOKUP(B167,'Исходные данные'!$A$4:$G$24,6,FALSE)-1,"")</f>
        <v>-0.35926328519366957</v>
      </c>
      <c r="M167" s="20">
        <f t="shared" si="43"/>
        <v>5.4374618281665343E-2</v>
      </c>
    </row>
    <row r="168" spans="1:14" x14ac:dyDescent="0.25">
      <c r="A168" s="27" t="s">
        <v>44</v>
      </c>
      <c r="B168" s="25">
        <f>'Исходные данные'!$A22</f>
        <v>2022</v>
      </c>
      <c r="C168" s="39">
        <f>IF(AND(Таблица10[[#This Row],[Год]]&gt;=Настройки!$B$4, Таблица10[[#This Row],[Год]]&lt;=Настройки!$B$5),IFERROR(VLOOKUP(Таблица10[[#This Row],[Год]],Данные[#All],9,FALSE),0),0)</f>
        <v>465508.0534760718</v>
      </c>
      <c r="D168" s="19">
        <f>VLOOKUP($A$150,Настройки!$L$2:$N$13,2,FALSE)</f>
        <v>0.3</v>
      </c>
      <c r="E168" s="19">
        <f>VLOOKUP($A$150,Настройки!$L$2:$N$13,3,FALSE)</f>
        <v>0.7</v>
      </c>
      <c r="F168" s="20">
        <f>D168*VLOOKUP(B168,'Исходные данные'!$A$4:$G$24,2,FALSE)+E168*VLOOKUP(B168,'Исходные данные'!$A$4:$G$24,3,FALSE)+(1-D168-E168)*VLOOKUP(B168,'Исходные данные'!$A$4:$G$24,4,FALSE)</f>
        <v>-8.4982076378494295E-2</v>
      </c>
      <c r="G168" s="40">
        <f t="shared" si="45"/>
        <v>12460001.549604375</v>
      </c>
      <c r="H168" s="21">
        <f t="shared" si="40"/>
        <v>-1098436.6443199439</v>
      </c>
      <c r="I168" s="21">
        <f t="shared" si="41"/>
        <v>11827072.958760502</v>
      </c>
      <c r="J168" s="23">
        <f t="shared" si="44"/>
        <v>5269575.8497980107</v>
      </c>
      <c r="K168" s="22">
        <f t="shared" si="42"/>
        <v>1.2444070065361803</v>
      </c>
      <c r="L168" s="22">
        <f>IFERROR((1+K168)/VLOOKUP(B168,'Исходные данные'!$A$4:$G$24,6,FALSE)-1,"")</f>
        <v>-0.50467875628405123</v>
      </c>
      <c r="M168" s="20">
        <f t="shared" si="43"/>
        <v>4.3467753245685525E-2</v>
      </c>
    </row>
    <row r="169" spans="1:14" x14ac:dyDescent="0.25">
      <c r="A169" s="27" t="s">
        <v>44</v>
      </c>
      <c r="B169" s="25">
        <f>'Исходные данные'!$A23</f>
        <v>2023</v>
      </c>
      <c r="C169" s="39">
        <f>IF(AND(Таблица10[[#This Row],[Год]]&gt;=Настройки!$B$4, Таблица10[[#This Row],[Год]]&lt;=Настройки!$B$5),IFERROR(VLOOKUP(Таблица10[[#This Row],[Год]],Данные[#All],9,FALSE),0),0)</f>
        <v>521089.71506111475</v>
      </c>
      <c r="D169" s="19">
        <f>VLOOKUP($A$150,Настройки!$L$2:$N$13,2,FALSE)</f>
        <v>0.3</v>
      </c>
      <c r="E169" s="19">
        <f>VLOOKUP($A$150,Настройки!$L$2:$N$13,3,FALSE)</f>
        <v>0.7</v>
      </c>
      <c r="F169" s="20">
        <f>D169*VLOOKUP(B169,'Исходные данные'!$A$4:$G$24,2,FALSE)+E169*VLOOKUP(B169,'Исходные данные'!$A$4:$G$24,3,FALSE)+(1-D169-E169)*VLOOKUP(B169,'Исходные данные'!$A$4:$G$24,4,FALSE)</f>
        <v>0.16682624348732628</v>
      </c>
      <c r="G169" s="40">
        <f t="shared" si="45"/>
        <v>11827072.958760502</v>
      </c>
      <c r="H169" s="21">
        <f t="shared" si="40"/>
        <v>2059997.592844079</v>
      </c>
      <c r="I169" s="21">
        <f t="shared" si="41"/>
        <v>14408160.266665695</v>
      </c>
      <c r="J169" s="23">
        <f t="shared" si="44"/>
        <v>5790665.5648591258</v>
      </c>
      <c r="K169" s="22">
        <f t="shared" si="42"/>
        <v>1.4881699875921282</v>
      </c>
      <c r="L169" s="22">
        <f>IFERROR((1+K169)/VLOOKUP(B169,'Исходные данные'!$A$4:$G$24,6,FALSE)-1,"")</f>
        <v>-0.48881248509984454</v>
      </c>
      <c r="M169" s="20">
        <f t="shared" si="43"/>
        <v>4.6631984396893644E-2</v>
      </c>
    </row>
    <row r="170" spans="1:14" x14ac:dyDescent="0.25">
      <c r="A170" s="27" t="s">
        <v>44</v>
      </c>
      <c r="B170" s="33">
        <f>'Исходные данные'!$A24</f>
        <v>2024</v>
      </c>
      <c r="C170" s="39">
        <f>IF(AND(Таблица10[[#This Row],[Год]]&gt;=Настройки!$B$4, Таблица10[[#This Row],[Год]]&lt;=Настройки!$B$5),IFERROR(VLOOKUP(Таблица10[[#This Row],[Год]],Данные[#All],9,FALSE),0),0)</f>
        <v>559754.57191864948</v>
      </c>
      <c r="D170" s="34">
        <f>VLOOKUP($A$150,Настройки!$L$2:$N$13,2,FALSE)</f>
        <v>0.3</v>
      </c>
      <c r="E170" s="34">
        <f>VLOOKUP($A$150,Настройки!$L$2:$N$13,3,FALSE)</f>
        <v>0.7</v>
      </c>
      <c r="F170" s="35">
        <f>D170*VLOOKUP(B170,'Исходные данные'!$A$4:$G$24,2,FALSE)+E170*VLOOKUP(B170,'Исходные данные'!$A$4:$G$24,3,FALSE)+(1-D170-E170)*VLOOKUP(B170,'Исходные данные'!$A$4:$G$24,4,FALSE)</f>
        <v>-5.5678122874493981E-2</v>
      </c>
      <c r="G170" s="41">
        <f t="shared" si="45"/>
        <v>14408160.266665695</v>
      </c>
      <c r="H170" s="36">
        <f t="shared" si="40"/>
        <v>-833385.40155766089</v>
      </c>
      <c r="I170" s="36">
        <f t="shared" si="41"/>
        <v>14134529.437026683</v>
      </c>
      <c r="J170" s="37">
        <f t="shared" si="44"/>
        <v>6350420.1367777754</v>
      </c>
      <c r="K170" s="22">
        <f t="shared" si="42"/>
        <v>1.2257628838079666</v>
      </c>
      <c r="L170" s="22">
        <f>IFERROR((1+K170)/VLOOKUP(B170,'Исходные данные'!$A$4:$G$24,6,FALSE)-1,"")</f>
        <v>-0.58247195524524131</v>
      </c>
      <c r="M170" s="20">
        <f t="shared" si="43"/>
        <v>3.883509764026094E-2</v>
      </c>
    </row>
    <row r="173" spans="1:14" ht="30" x14ac:dyDescent="0.25">
      <c r="A173" s="28" t="s">
        <v>50</v>
      </c>
      <c r="B173" s="29" t="s">
        <v>10</v>
      </c>
      <c r="C173" s="28" t="s">
        <v>37</v>
      </c>
      <c r="D173" s="30" t="s">
        <v>53</v>
      </c>
      <c r="E173" s="30" t="s">
        <v>54</v>
      </c>
      <c r="F173" s="30" t="s">
        <v>55</v>
      </c>
      <c r="G173" s="30" t="s">
        <v>56</v>
      </c>
      <c r="H173" s="30" t="s">
        <v>57</v>
      </c>
      <c r="I173" s="30" t="s">
        <v>80</v>
      </c>
      <c r="J173" s="30" t="s">
        <v>79</v>
      </c>
      <c r="K173" s="30" t="s">
        <v>38</v>
      </c>
      <c r="L173" s="30" t="s">
        <v>83</v>
      </c>
      <c r="M173" s="31" t="s">
        <v>59</v>
      </c>
    </row>
    <row r="174" spans="1:14" x14ac:dyDescent="0.25">
      <c r="A174" s="27" t="s">
        <v>45</v>
      </c>
      <c r="B174" s="25">
        <f>'Исходные данные'!$A4</f>
        <v>2004</v>
      </c>
      <c r="C174" s="39">
        <f>IF(AND(Таблица9[[#This Row],[Год]]&gt;=Настройки!$B$4, Таблица9[[#This Row],[Год]]&lt;=Настройки!$B$5),IFERROR(VLOOKUP(Таблица9[[#This Row],[Год]],Данные[#All],9,FALSE),0),0)</f>
        <v>115000</v>
      </c>
      <c r="D174" s="19">
        <f>VLOOKUP($A$174,Настройки!$L$2:$N$13,2,FALSE)</f>
        <v>0.4</v>
      </c>
      <c r="E174" s="19">
        <f>VLOOKUP($A$174,Настройки!$L$2:$N$13,3,FALSE)</f>
        <v>0.6</v>
      </c>
      <c r="F174" s="20">
        <f>D174*VLOOKUP(B174,'Исходные данные'!$A$4:$G$24,2,FALSE)+E174*VLOOKUP(B174,'Исходные данные'!$A$4:$G$24,3,FALSE)+(1-D174-E174)*VLOOKUP(B174,'Исходные данные'!$A$4:$G$24,4,FALSE)</f>
        <v>9.4491348942210604E-2</v>
      </c>
      <c r="G174" s="39">
        <f>0</f>
        <v>0</v>
      </c>
      <c r="H174" s="21">
        <f>(G174+C174)*F174</f>
        <v>10866.50512835422</v>
      </c>
      <c r="I174" s="21">
        <f>G174+C174+H174</f>
        <v>125866.50512835421</v>
      </c>
      <c r="J174" s="21">
        <f>C174</f>
        <v>115000</v>
      </c>
      <c r="K174" s="22">
        <f>IFERROR((I174-J174)/J174,"")</f>
        <v>9.4491348942210548E-2</v>
      </c>
      <c r="L174" s="22">
        <f>IFERROR((1+K174)/VLOOKUP(B174,'Исходные данные'!$A$4:$G$24,6,FALSE)-1,"")</f>
        <v>-2.0501746069258475E-2</v>
      </c>
      <c r="M174" s="20">
        <f>IFERROR((I174/J174)^(1/(B174-$B$174+1))-1,"")</f>
        <v>9.4491348942210562E-2</v>
      </c>
      <c r="N174" s="24"/>
    </row>
    <row r="175" spans="1:14" x14ac:dyDescent="0.25">
      <c r="A175" s="27" t="s">
        <v>45</v>
      </c>
      <c r="B175" s="25">
        <f>'Исходные данные'!$A5</f>
        <v>2005</v>
      </c>
      <c r="C175" s="39">
        <f>IF(AND(Таблица9[[#This Row],[Год]]&gt;=Настройки!$B$4, Таблица9[[#This Row],[Год]]&lt;=Настройки!$B$5),IFERROR(VLOOKUP(Таблица9[[#This Row],[Год]],Данные[#All],9,FALSE),0),0)</f>
        <v>128501</v>
      </c>
      <c r="D175" s="19">
        <f>VLOOKUP($A$174,Настройки!$L$2:$N$13,2,FALSE)</f>
        <v>0.4</v>
      </c>
      <c r="E175" s="19">
        <f>VLOOKUP($A$174,Настройки!$L$2:$N$13,3,FALSE)</f>
        <v>0.6</v>
      </c>
      <c r="F175" s="20">
        <f>D175*VLOOKUP(B175,'Исходные данные'!$A$4:$G$24,2,FALSE)+E175*VLOOKUP(B175,'Исходные данные'!$A$4:$G$24,3,FALSE)+(1-D175-E175)*VLOOKUP(B175,'Исходные данные'!$A$4:$G$24,4,FALSE)</f>
        <v>0.40934827758104791</v>
      </c>
      <c r="G175" s="40">
        <f>I174</f>
        <v>125866.50512835421</v>
      </c>
      <c r="H175" s="21">
        <f t="shared" ref="H175:H194" si="46">(G175+C175)*F175</f>
        <v>104124.90009688017</v>
      </c>
      <c r="I175" s="21">
        <f t="shared" ref="I175:I194" si="47">G175+C175+H175</f>
        <v>358492.4052252344</v>
      </c>
      <c r="J175" s="23">
        <f>J174+C175</f>
        <v>243501</v>
      </c>
      <c r="K175" s="22">
        <f t="shared" ref="K175:K194" si="48">IFERROR((I175-J175)/J175,"")</f>
        <v>0.47224202457170361</v>
      </c>
      <c r="L175" s="22">
        <f>IFERROR((1+K175)/VLOOKUP(B175,'Исходные данные'!$A$4:$G$24,6,FALSE)-1,"")</f>
        <v>0.18795458487086725</v>
      </c>
      <c r="M175" s="20">
        <f t="shared" ref="M175:M194" si="49">IFERROR((I175/J175)^(1/(B175-$B$174+1))-1,"")</f>
        <v>0.2133598083716568</v>
      </c>
    </row>
    <row r="176" spans="1:14" x14ac:dyDescent="0.25">
      <c r="A176" s="27" t="s">
        <v>45</v>
      </c>
      <c r="B176" s="25">
        <f>'Исходные данные'!$A6</f>
        <v>2006</v>
      </c>
      <c r="C176" s="39">
        <f>IF(AND(Таблица9[[#This Row],[Год]]&gt;=Настройки!$B$4, Таблица9[[#This Row],[Год]]&lt;=Настройки!$B$5),IFERROR(VLOOKUP(Таблица9[[#This Row],[Год]],Данные[#All],9,FALSE),0),0)</f>
        <v>142520.45910000001</v>
      </c>
      <c r="D176" s="19">
        <f>VLOOKUP($A$174,Настройки!$L$2:$N$13,2,FALSE)</f>
        <v>0.4</v>
      </c>
      <c r="E176" s="19">
        <f>VLOOKUP($A$174,Настройки!$L$2:$N$13,3,FALSE)</f>
        <v>0.6</v>
      </c>
      <c r="F176" s="20">
        <f>D176*VLOOKUP(B176,'Исходные данные'!$A$4:$G$24,2,FALSE)+E176*VLOOKUP(B176,'Исходные данные'!$A$4:$G$24,3,FALSE)+(1-D176-E176)*VLOOKUP(B176,'Исходные данные'!$A$4:$G$24,4,FALSE)</f>
        <v>0.32041240874709942</v>
      </c>
      <c r="G176" s="40">
        <f>I175</f>
        <v>358492.4052252344</v>
      </c>
      <c r="H176" s="21">
        <f t="shared" si="46"/>
        <v>160530.73867173208</v>
      </c>
      <c r="I176" s="21">
        <f t="shared" si="47"/>
        <v>661543.60299696657</v>
      </c>
      <c r="J176" s="23">
        <f t="shared" ref="J176:J194" si="50">J175+C176</f>
        <v>386021.45909999998</v>
      </c>
      <c r="K176" s="22">
        <f t="shared" si="48"/>
        <v>0.71374825777649786</v>
      </c>
      <c r="L176" s="22">
        <f>IFERROR((1+K176)/VLOOKUP(B176,'Исходные данные'!$A$4:$G$24,6,FALSE)-1,"")</f>
        <v>0.26864804932389363</v>
      </c>
      <c r="M176" s="20">
        <f t="shared" si="49"/>
        <v>0.19669187423000567</v>
      </c>
    </row>
    <row r="177" spans="1:13" x14ac:dyDescent="0.25">
      <c r="A177" s="27" t="s">
        <v>45</v>
      </c>
      <c r="B177" s="25">
        <f>'Исходные данные'!$A7</f>
        <v>2007</v>
      </c>
      <c r="C177" s="39">
        <f>IF(AND(Таблица9[[#This Row],[Год]]&gt;=Настройки!$B$4, Таблица9[[#This Row],[Год]]&lt;=Настройки!$B$5),IFERROR(VLOOKUP(Таблица9[[#This Row],[Год]],Данные[#All],9,FALSE),0),0)</f>
        <v>155347.30041900001</v>
      </c>
      <c r="D177" s="19">
        <f>VLOOKUP($A$174,Настройки!$L$2:$N$13,2,FALSE)</f>
        <v>0.4</v>
      </c>
      <c r="E177" s="19">
        <f>VLOOKUP($A$174,Настройки!$L$2:$N$13,3,FALSE)</f>
        <v>0.6</v>
      </c>
      <c r="F177" s="20">
        <f>D177*VLOOKUP(B177,'Исходные данные'!$A$4:$G$24,2,FALSE)+E177*VLOOKUP(B177,'Исходные данные'!$A$4:$G$24,3,FALSE)+(1-D177-E177)*VLOOKUP(B177,'Исходные данные'!$A$4:$G$24,4,FALSE)</f>
        <v>9.5021379677389856E-2</v>
      </c>
      <c r="G177" s="40">
        <f t="shared" ref="G177:G194" si="51">I176</f>
        <v>661543.60299696657</v>
      </c>
      <c r="H177" s="21">
        <f t="shared" si="46"/>
        <v>77622.100688494567</v>
      </c>
      <c r="I177" s="21">
        <f t="shared" si="47"/>
        <v>894513.00410446106</v>
      </c>
      <c r="J177" s="23">
        <f t="shared" si="50"/>
        <v>541368.75951899996</v>
      </c>
      <c r="K177" s="22">
        <f t="shared" si="48"/>
        <v>0.65231736847768196</v>
      </c>
      <c r="L177" s="22">
        <f>IFERROR((1+K177)/VLOOKUP(B177,'Исходные данные'!$A$4:$G$24,6,FALSE)-1,"")</f>
        <v>9.3387135191387083E-2</v>
      </c>
      <c r="M177" s="20">
        <f t="shared" si="49"/>
        <v>0.13376583818095322</v>
      </c>
    </row>
    <row r="178" spans="1:13" x14ac:dyDescent="0.25">
      <c r="A178" s="27" t="s">
        <v>45</v>
      </c>
      <c r="B178" s="25">
        <f>'Исходные данные'!$A8</f>
        <v>2008</v>
      </c>
      <c r="C178" s="39">
        <f>IF(AND(Таблица9[[#This Row],[Год]]&gt;=Настройки!$B$4, Таблица9[[#This Row],[Год]]&lt;=Настройки!$B$5),IFERROR(VLOOKUP(Таблица9[[#This Row],[Год]],Данные[#All],9,FALSE),0),0)</f>
        <v>173787.02497873531</v>
      </c>
      <c r="D178" s="19">
        <f>VLOOKUP($A$174,Настройки!$L$2:$N$13,2,FALSE)</f>
        <v>0.4</v>
      </c>
      <c r="E178" s="19">
        <f>VLOOKUP($A$174,Настройки!$L$2:$N$13,3,FALSE)</f>
        <v>0.6</v>
      </c>
      <c r="F178" s="20">
        <f>D178*VLOOKUP(B178,'Исходные данные'!$A$4:$G$24,2,FALSE)+E178*VLOOKUP(B178,'Исходные данные'!$A$4:$G$24,3,FALSE)+(1-D178-E178)*VLOOKUP(B178,'Исходные данные'!$A$4:$G$24,4,FALSE)</f>
        <v>-0.29975615621710777</v>
      </c>
      <c r="G178" s="40">
        <f t="shared" si="51"/>
        <v>894513.00410446106</v>
      </c>
      <c r="H178" s="21">
        <f t="shared" si="46"/>
        <v>-320229.51040460338</v>
      </c>
      <c r="I178" s="21">
        <f t="shared" si="47"/>
        <v>748070.51867859298</v>
      </c>
      <c r="J178" s="23">
        <f t="shared" si="50"/>
        <v>715155.78449773532</v>
      </c>
      <c r="K178" s="22">
        <f t="shared" si="48"/>
        <v>4.6024565408464356E-2</v>
      </c>
      <c r="L178" s="22">
        <f>IFERROR((1+K178)/VLOOKUP(B178,'Исходные данные'!$A$4:$G$24,6,FALSE)-1,"")</f>
        <v>-0.38896071172343449</v>
      </c>
      <c r="M178" s="20">
        <f t="shared" si="49"/>
        <v>9.039986171528902E-3</v>
      </c>
    </row>
    <row r="179" spans="1:13" x14ac:dyDescent="0.25">
      <c r="A179" s="27" t="s">
        <v>45</v>
      </c>
      <c r="B179" s="25">
        <f>'Исходные данные'!$A9</f>
        <v>2009</v>
      </c>
      <c r="C179" s="39">
        <f>IF(AND(Таблица9[[#This Row],[Год]]&gt;=Настройки!$B$4, Таблица9[[#This Row],[Год]]&lt;=Настройки!$B$5),IFERROR(VLOOKUP(Таблица9[[#This Row],[Год]],Данные[#All],9,FALSE),0),0)</f>
        <v>196865.94189591135</v>
      </c>
      <c r="D179" s="19">
        <f>VLOOKUP($A$174,Настройки!$L$2:$N$13,2,FALSE)</f>
        <v>0.4</v>
      </c>
      <c r="E179" s="19">
        <f>VLOOKUP($A$174,Настройки!$L$2:$N$13,3,FALSE)</f>
        <v>0.6</v>
      </c>
      <c r="F179" s="20">
        <f>D179*VLOOKUP(B179,'Исходные данные'!$A$4:$G$24,2,FALSE)+E179*VLOOKUP(B179,'Исходные данные'!$A$4:$G$24,3,FALSE)+(1-D179-E179)*VLOOKUP(B179,'Исходные данные'!$A$4:$G$24,4,FALSE)</f>
        <v>0.71640563717549144</v>
      </c>
      <c r="G179" s="40">
        <f t="shared" si="51"/>
        <v>748070.51867859298</v>
      </c>
      <c r="H179" s="21">
        <f t="shared" si="46"/>
        <v>676957.80712823139</v>
      </c>
      <c r="I179" s="21">
        <f t="shared" si="47"/>
        <v>1621894.2677027357</v>
      </c>
      <c r="J179" s="23">
        <f t="shared" si="50"/>
        <v>912021.72639364668</v>
      </c>
      <c r="K179" s="22">
        <f t="shared" si="48"/>
        <v>0.77835047210563268</v>
      </c>
      <c r="L179" s="22">
        <f>IFERROR((1+K179)/VLOOKUP(B179,'Исходные данные'!$A$4:$G$24,6,FALSE)-1,"")</f>
        <v>-4.5192744514094718E-2</v>
      </c>
      <c r="M179" s="20">
        <f t="shared" si="49"/>
        <v>0.10070150196186956</v>
      </c>
    </row>
    <row r="180" spans="1:13" x14ac:dyDescent="0.25">
      <c r="A180" s="27" t="s">
        <v>45</v>
      </c>
      <c r="B180" s="25">
        <f>'Исходные данные'!$A10</f>
        <v>2010</v>
      </c>
      <c r="C180" s="39">
        <f>IF(AND(Таблица9[[#This Row],[Год]]&gt;=Настройки!$B$4, Таблица9[[#This Row],[Год]]&lt;=Настройки!$B$5),IFERROR(VLOOKUP(Таблица9[[#This Row],[Год]],Данные[#All],9,FALSE),0),0)</f>
        <v>214190.14478275157</v>
      </c>
      <c r="D180" s="19">
        <f>VLOOKUP($A$174,Настройки!$L$2:$N$13,2,FALSE)</f>
        <v>0.4</v>
      </c>
      <c r="E180" s="19">
        <f>VLOOKUP($A$174,Настройки!$L$2:$N$13,3,FALSE)</f>
        <v>0.6</v>
      </c>
      <c r="F180" s="20">
        <f>D180*VLOOKUP(B180,'Исходные данные'!$A$4:$G$24,2,FALSE)+E180*VLOOKUP(B180,'Исходные данные'!$A$4:$G$24,3,FALSE)+(1-D180-E180)*VLOOKUP(B180,'Исходные данные'!$A$4:$G$24,4,FALSE)</f>
        <v>0.16802383688866226</v>
      </c>
      <c r="G180" s="40">
        <f t="shared" si="51"/>
        <v>1621894.2677027357</v>
      </c>
      <c r="H180" s="21">
        <f t="shared" si="46"/>
        <v>308505.94783727679</v>
      </c>
      <c r="I180" s="21">
        <f t="shared" si="47"/>
        <v>2144590.3603227641</v>
      </c>
      <c r="J180" s="23">
        <f t="shared" si="50"/>
        <v>1126211.8711763984</v>
      </c>
      <c r="K180" s="22">
        <f t="shared" si="48"/>
        <v>0.90425124722101013</v>
      </c>
      <c r="L180" s="22">
        <f>IFERROR((1+K180)/VLOOKUP(B180,'Исходные данные'!$A$4:$G$24,6,FALSE)-1,"")</f>
        <v>-6.0117528583918389E-2</v>
      </c>
      <c r="M180" s="20">
        <f t="shared" si="49"/>
        <v>9.6378743690305191E-2</v>
      </c>
    </row>
    <row r="181" spans="1:13" x14ac:dyDescent="0.25">
      <c r="A181" s="27" t="s">
        <v>45</v>
      </c>
      <c r="B181" s="25">
        <f>'Исходные данные'!$A11</f>
        <v>2011</v>
      </c>
      <c r="C181" s="39">
        <f>IF(AND(Таблица9[[#This Row],[Год]]&gt;=Настройки!$B$4, Таблица9[[#This Row],[Год]]&lt;=Настройки!$B$5),IFERROR(VLOOKUP(Таблица9[[#This Row],[Год]],Данные[#All],9,FALSE),0),0)</f>
        <v>232996.03949467718</v>
      </c>
      <c r="D181" s="19">
        <f>VLOOKUP($A$174,Настройки!$L$2:$N$13,2,FALSE)</f>
        <v>0.4</v>
      </c>
      <c r="E181" s="19">
        <f>VLOOKUP($A$174,Настройки!$L$2:$N$13,3,FALSE)</f>
        <v>0.6</v>
      </c>
      <c r="F181" s="20">
        <f>D181*VLOOKUP(B181,'Исходные данные'!$A$4:$G$24,2,FALSE)+E181*VLOOKUP(B181,'Исходные данные'!$A$4:$G$24,3,FALSE)+(1-D181-E181)*VLOOKUP(B181,'Исходные данные'!$A$4:$G$24,4,FALSE)</f>
        <v>-2.3055508557981025E-2</v>
      </c>
      <c r="G181" s="40">
        <f t="shared" si="51"/>
        <v>2144590.3603227641</v>
      </c>
      <c r="H181" s="21">
        <f t="shared" si="46"/>
        <v>-54816.463588330305</v>
      </c>
      <c r="I181" s="21">
        <f t="shared" si="47"/>
        <v>2322769.9362291107</v>
      </c>
      <c r="J181" s="23">
        <f t="shared" si="50"/>
        <v>1359207.9106710756</v>
      </c>
      <c r="K181" s="22">
        <f t="shared" si="48"/>
        <v>0.7089143743154791</v>
      </c>
      <c r="L181" s="22">
        <f>IFERROR((1+K181)/VLOOKUP(B181,'Исходные данные'!$A$4:$G$24,6,FALSE)-1,"")</f>
        <v>-0.20502362896196313</v>
      </c>
      <c r="M181" s="20">
        <f t="shared" si="49"/>
        <v>6.9276538456692682E-2</v>
      </c>
    </row>
    <row r="182" spans="1:13" x14ac:dyDescent="0.25">
      <c r="A182" s="27" t="s">
        <v>45</v>
      </c>
      <c r="B182" s="25">
        <f>'Исходные данные'!$A12</f>
        <v>2012</v>
      </c>
      <c r="C182" s="39">
        <f>IF(AND(Таблица9[[#This Row],[Год]]&gt;=Настройки!$B$4, Таблица9[[#This Row],[Год]]&lt;=Настройки!$B$5),IFERROR(VLOOKUP(Таблица9[[#This Row],[Год]],Данные[#All],9,FALSE),0),0)</f>
        <v>247208.79790385248</v>
      </c>
      <c r="D182" s="19">
        <f>VLOOKUP($A$174,Настройки!$L$2:$N$13,2,FALSE)</f>
        <v>0.4</v>
      </c>
      <c r="E182" s="19">
        <f>VLOOKUP($A$174,Настройки!$L$2:$N$13,3,FALSE)</f>
        <v>0.6</v>
      </c>
      <c r="F182" s="20">
        <f>D182*VLOOKUP(B182,'Исходные данные'!$A$4:$G$24,2,FALSE)+E182*VLOOKUP(B182,'Исходные данные'!$A$4:$G$24,3,FALSE)+(1-D182-E182)*VLOOKUP(B182,'Исходные данные'!$A$4:$G$24,4,FALSE)</f>
        <v>0.12294980578051046</v>
      </c>
      <c r="G182" s="40">
        <f t="shared" si="51"/>
        <v>2322769.9362291107</v>
      </c>
      <c r="H182" s="21">
        <f t="shared" si="46"/>
        <v>315978.38622168993</v>
      </c>
      <c r="I182" s="21">
        <f t="shared" si="47"/>
        <v>2885957.1203546533</v>
      </c>
      <c r="J182" s="23">
        <f t="shared" si="50"/>
        <v>1606416.7085749281</v>
      </c>
      <c r="K182" s="22">
        <f t="shared" si="48"/>
        <v>0.79651836596920178</v>
      </c>
      <c r="L182" s="22">
        <f>IFERROR((1+K182)/VLOOKUP(B182,'Исходные данные'!$A$4:$G$24,6,FALSE)-1,"")</f>
        <v>-0.21586676226441015</v>
      </c>
      <c r="M182" s="20">
        <f t="shared" si="49"/>
        <v>6.7259881691017043E-2</v>
      </c>
    </row>
    <row r="183" spans="1:13" x14ac:dyDescent="0.25">
      <c r="A183" s="27" t="s">
        <v>45</v>
      </c>
      <c r="B183" s="25">
        <f>'Исходные данные'!$A13</f>
        <v>2013</v>
      </c>
      <c r="C183" s="39">
        <f>IF(AND(Таблица9[[#This Row],[Год]]&gt;=Настройки!$B$4, Таблица9[[#This Row],[Год]]&lt;=Настройки!$B$5),IFERROR(VLOOKUP(Таблица9[[#This Row],[Год]],Данные[#All],9,FALSE),0),0)</f>
        <v>263475.13680592598</v>
      </c>
      <c r="D183" s="19">
        <f>VLOOKUP($A$174,Настройки!$L$2:$N$13,2,FALSE)</f>
        <v>0.4</v>
      </c>
      <c r="E183" s="19">
        <f>VLOOKUP($A$174,Настройки!$L$2:$N$13,3,FALSE)</f>
        <v>0.6</v>
      </c>
      <c r="F183" s="20">
        <f>D183*VLOOKUP(B183,'Исходные данные'!$A$4:$G$24,2,FALSE)+E183*VLOOKUP(B183,'Исходные данные'!$A$4:$G$24,3,FALSE)+(1-D183-E183)*VLOOKUP(B183,'Исходные данные'!$A$4:$G$24,4,FALSE)</f>
        <v>4.8072081574505932E-2</v>
      </c>
      <c r="G183" s="40">
        <f t="shared" si="51"/>
        <v>2885957.1203546533</v>
      </c>
      <c r="H183" s="21">
        <f t="shared" si="46"/>
        <v>151399.7643796037</v>
      </c>
      <c r="I183" s="21">
        <f t="shared" si="47"/>
        <v>3300832.0215401831</v>
      </c>
      <c r="J183" s="23">
        <f t="shared" si="50"/>
        <v>1869891.8453808541</v>
      </c>
      <c r="K183" s="22">
        <f t="shared" si="48"/>
        <v>0.76525291005153262</v>
      </c>
      <c r="L183" s="22">
        <f>IFERROR((1+K183)/VLOOKUP(B183,'Исходные данные'!$A$4:$G$24,6,FALSE)-1,"")</f>
        <v>-0.27619851132896267</v>
      </c>
      <c r="M183" s="20">
        <f t="shared" si="49"/>
        <v>5.8475216148389908E-2</v>
      </c>
    </row>
    <row r="184" spans="1:13" x14ac:dyDescent="0.25">
      <c r="A184" s="27" t="s">
        <v>45</v>
      </c>
      <c r="B184" s="25">
        <f>'Исходные данные'!$A14</f>
        <v>2014</v>
      </c>
      <c r="C184" s="39">
        <f>IF(AND(Таблица9[[#This Row],[Год]]&gt;=Настройки!$B$4, Таблица9[[#This Row],[Год]]&lt;=Настройки!$B$5),IFERROR(VLOOKUP(Таблица9[[#This Row],[Год]],Данные[#All],9,FALSE),0),0)</f>
        <v>280469.2831299082</v>
      </c>
      <c r="D184" s="19">
        <f>VLOOKUP($A$174,Настройки!$L$2:$N$13,2,FALSE)</f>
        <v>0.4</v>
      </c>
      <c r="E184" s="19">
        <f>VLOOKUP($A$174,Настройки!$L$2:$N$13,3,FALSE)</f>
        <v>0.6</v>
      </c>
      <c r="F184" s="20">
        <f>D184*VLOOKUP(B184,'Исходные данные'!$A$4:$G$24,2,FALSE)+E184*VLOOKUP(B184,'Исходные данные'!$A$4:$G$24,3,FALSE)+(1-D184-E184)*VLOOKUP(B184,'Исходные данные'!$A$4:$G$24,4,FALSE)</f>
        <v>-9.350848112696597E-2</v>
      </c>
      <c r="G184" s="40">
        <f t="shared" si="51"/>
        <v>3300832.0215401831</v>
      </c>
      <c r="H184" s="21">
        <f t="shared" si="46"/>
        <v>-334882.0454577218</v>
      </c>
      <c r="I184" s="21">
        <f t="shared" si="47"/>
        <v>3246419.2592123696</v>
      </c>
      <c r="J184" s="23">
        <f t="shared" si="50"/>
        <v>2150361.1285107625</v>
      </c>
      <c r="K184" s="22">
        <f t="shared" si="48"/>
        <v>0.50970886525496517</v>
      </c>
      <c r="L184" s="22">
        <f>IFERROR((1+K184)/VLOOKUP(B184,'Исходные данные'!$A$4:$G$24,6,FALSE)-1,"")</f>
        <v>-0.44412579808074948</v>
      </c>
      <c r="M184" s="20">
        <f t="shared" si="49"/>
        <v>3.815695704948685E-2</v>
      </c>
    </row>
    <row r="185" spans="1:13" x14ac:dyDescent="0.25">
      <c r="A185" s="27" t="s">
        <v>45</v>
      </c>
      <c r="B185" s="25">
        <f>'Исходные данные'!$A15</f>
        <v>2015</v>
      </c>
      <c r="C185" s="39">
        <f>IF(AND(Таблица9[[#This Row],[Год]]&gt;=Настройки!$B$4, Таблица9[[#This Row],[Год]]&lt;=Настройки!$B$5),IFERROR(VLOOKUP(Таблица9[[#This Row],[Год]],Данные[#All],9,FALSE),0),0)</f>
        <v>312330.59369346575</v>
      </c>
      <c r="D185" s="19">
        <f>VLOOKUP($A$174,Настройки!$L$2:$N$13,2,FALSE)</f>
        <v>0.4</v>
      </c>
      <c r="E185" s="19">
        <f>VLOOKUP($A$174,Настройки!$L$2:$N$13,3,FALSE)</f>
        <v>0.6</v>
      </c>
      <c r="F185" s="20">
        <f>D185*VLOOKUP(B185,'Исходные данные'!$A$4:$G$24,2,FALSE)+E185*VLOOKUP(B185,'Исходные данные'!$A$4:$G$24,3,FALSE)+(1-D185-E185)*VLOOKUP(B185,'Исходные данные'!$A$4:$G$24,4,FALSE)</f>
        <v>0.30643381488737009</v>
      </c>
      <c r="G185" s="40">
        <f t="shared" si="51"/>
        <v>3246419.2592123696</v>
      </c>
      <c r="H185" s="21">
        <f t="shared" si="46"/>
        <v>1090521.2936558023</v>
      </c>
      <c r="I185" s="21">
        <f t="shared" si="47"/>
        <v>4649271.1465616375</v>
      </c>
      <c r="J185" s="23">
        <f t="shared" si="50"/>
        <v>2462691.7222042284</v>
      </c>
      <c r="K185" s="22">
        <f t="shared" si="48"/>
        <v>0.8878819076877047</v>
      </c>
      <c r="L185" s="22">
        <f>IFERROR((1+K185)/VLOOKUP(B185,'Исходные данные'!$A$4:$G$24,6,FALSE)-1,"")</f>
        <v>-0.38436155763125834</v>
      </c>
      <c r="M185" s="20">
        <f t="shared" si="49"/>
        <v>5.4381802942202739E-2</v>
      </c>
    </row>
    <row r="186" spans="1:13" x14ac:dyDescent="0.25">
      <c r="A186" s="27" t="s">
        <v>45</v>
      </c>
      <c r="B186" s="25">
        <f>'Исходные данные'!$A16</f>
        <v>2016</v>
      </c>
      <c r="C186" s="39">
        <f>IF(AND(Таблица9[[#This Row],[Год]]&gt;=Настройки!$B$4, Таблица9[[#This Row],[Год]]&lt;=Настройки!$B$5),IFERROR(VLOOKUP(Таблица9[[#This Row],[Год]],Данные[#All],9,FALSE),0),0)</f>
        <v>352652.47333929216</v>
      </c>
      <c r="D186" s="19">
        <f>VLOOKUP($A$174,Настройки!$L$2:$N$13,2,FALSE)</f>
        <v>0.4</v>
      </c>
      <c r="E186" s="19">
        <f>VLOOKUP($A$174,Настройки!$L$2:$N$13,3,FALSE)</f>
        <v>0.6</v>
      </c>
      <c r="F186" s="20">
        <f>D186*VLOOKUP(B186,'Исходные данные'!$A$4:$G$24,2,FALSE)+E186*VLOOKUP(B186,'Исходные данные'!$A$4:$G$24,3,FALSE)+(1-D186-E186)*VLOOKUP(B186,'Исходные данные'!$A$4:$G$24,4,FALSE)</f>
        <v>0.22039086354564646</v>
      </c>
      <c r="G186" s="40">
        <f t="shared" si="51"/>
        <v>4649271.1465616375</v>
      </c>
      <c r="H186" s="21">
        <f t="shared" si="46"/>
        <v>1102378.2659793319</v>
      </c>
      <c r="I186" s="21">
        <f t="shared" si="47"/>
        <v>6104301.8858802617</v>
      </c>
      <c r="J186" s="23">
        <f t="shared" si="50"/>
        <v>2815344.1955435206</v>
      </c>
      <c r="K186" s="22">
        <f t="shared" si="48"/>
        <v>1.1682257876471784</v>
      </c>
      <c r="L186" s="22">
        <f>IFERROR((1+K186)/VLOOKUP(B186,'Исходные данные'!$A$4:$G$24,6,FALSE)-1,"")</f>
        <v>-0.3290390925836455</v>
      </c>
      <c r="M186" s="20">
        <f t="shared" si="49"/>
        <v>6.133917008396006E-2</v>
      </c>
    </row>
    <row r="187" spans="1:13" x14ac:dyDescent="0.25">
      <c r="A187" s="27" t="s">
        <v>45</v>
      </c>
      <c r="B187" s="25">
        <f>'Исходные данные'!$A17</f>
        <v>2017</v>
      </c>
      <c r="C187" s="39">
        <f>IF(AND(Таблица9[[#This Row],[Год]]&gt;=Настройки!$B$4, Таблица9[[#This Row],[Год]]&lt;=Настройки!$B$5),IFERROR(VLOOKUP(Таблица9[[#This Row],[Год]],Данные[#All],9,FALSE),0),0)</f>
        <v>371625.17640494613</v>
      </c>
      <c r="D187" s="19">
        <f>VLOOKUP($A$174,Настройки!$L$2:$N$13,2,FALSE)</f>
        <v>0.4</v>
      </c>
      <c r="E187" s="19">
        <f>VLOOKUP($A$174,Настройки!$L$2:$N$13,3,FALSE)</f>
        <v>0.6</v>
      </c>
      <c r="F187" s="20">
        <f>D187*VLOOKUP(B187,'Исходные данные'!$A$4:$G$24,2,FALSE)+E187*VLOOKUP(B187,'Исходные данные'!$A$4:$G$24,3,FALSE)+(1-D187-E187)*VLOOKUP(B187,'Исходные данные'!$A$4:$G$24,4,FALSE)</f>
        <v>7.5687840603175474E-2</v>
      </c>
      <c r="G187" s="40">
        <f t="shared" si="51"/>
        <v>6104301.8858802617</v>
      </c>
      <c r="H187" s="21">
        <f t="shared" si="46"/>
        <v>490148.93524803326</v>
      </c>
      <c r="I187" s="21">
        <f t="shared" si="47"/>
        <v>6966075.9975332413</v>
      </c>
      <c r="J187" s="23">
        <f t="shared" si="50"/>
        <v>3186969.3719484666</v>
      </c>
      <c r="K187" s="22">
        <f t="shared" si="48"/>
        <v>1.1857994804870948</v>
      </c>
      <c r="L187" s="22">
        <f>IFERROR((1+K187)/VLOOKUP(B187,'Исходные данные'!$A$4:$G$24,6,FALSE)-1,"")</f>
        <v>-0.3402271610160148</v>
      </c>
      <c r="M187" s="20">
        <f t="shared" si="49"/>
        <v>5.7445223632358822E-2</v>
      </c>
    </row>
    <row r="188" spans="1:13" x14ac:dyDescent="0.25">
      <c r="A188" s="27" t="s">
        <v>45</v>
      </c>
      <c r="B188" s="25">
        <f>'Исходные данные'!$A18</f>
        <v>2018</v>
      </c>
      <c r="C188" s="39">
        <f>IF(AND(Таблица9[[#This Row],[Год]]&gt;=Настройки!$B$4, Таблица9[[#This Row],[Год]]&lt;=Настройки!$B$5),IFERROR(VLOOKUP(Таблица9[[#This Row],[Год]],Данные[#All],9,FALSE),0),0)</f>
        <v>380990.13085035072</v>
      </c>
      <c r="D188" s="19">
        <f>VLOOKUP($A$174,Настройки!$L$2:$N$13,2,FALSE)</f>
        <v>0.4</v>
      </c>
      <c r="E188" s="19">
        <f>VLOOKUP($A$174,Настройки!$L$2:$N$13,3,FALSE)</f>
        <v>0.6</v>
      </c>
      <c r="F188" s="20">
        <f>D188*VLOOKUP(B188,'Исходные данные'!$A$4:$G$24,2,FALSE)+E188*VLOOKUP(B188,'Исходные данные'!$A$4:$G$24,3,FALSE)+(1-D188-E188)*VLOOKUP(B188,'Исходные данные'!$A$4:$G$24,4,FALSE)</f>
        <v>8.9075008927649663E-2</v>
      </c>
      <c r="G188" s="40">
        <f t="shared" si="51"/>
        <v>6966075.9975332413</v>
      </c>
      <c r="H188" s="21">
        <f t="shared" si="46"/>
        <v>654439.98097780091</v>
      </c>
      <c r="I188" s="21">
        <f t="shared" si="47"/>
        <v>8001506.1093613924</v>
      </c>
      <c r="J188" s="23">
        <f t="shared" si="50"/>
        <v>3567959.5027988171</v>
      </c>
      <c r="K188" s="22">
        <f t="shared" si="48"/>
        <v>1.2426000359826856</v>
      </c>
      <c r="L188" s="22">
        <f>IFERROR((1+K188)/VLOOKUP(B188,'Исходные данные'!$A$4:$G$24,6,FALSE)-1,"")</f>
        <v>-0.35080290810437997</v>
      </c>
      <c r="M188" s="20">
        <f t="shared" si="49"/>
        <v>5.5318265478040196E-2</v>
      </c>
    </row>
    <row r="189" spans="1:13" x14ac:dyDescent="0.25">
      <c r="A189" s="27" t="s">
        <v>45</v>
      </c>
      <c r="B189" s="25">
        <f>'Исходные данные'!$A19</f>
        <v>2019</v>
      </c>
      <c r="C189" s="39">
        <f>IF(AND(Таблица9[[#This Row],[Год]]&gt;=Настройки!$B$4, Таблица9[[#This Row],[Год]]&lt;=Настройки!$B$5),IFERROR(VLOOKUP(Таблица9[[#This Row],[Год]],Данные[#All],9,FALSE),0),0)</f>
        <v>397258.40943766065</v>
      </c>
      <c r="D189" s="19">
        <f>VLOOKUP($A$174,Настройки!$L$2:$N$13,2,FALSE)</f>
        <v>0.4</v>
      </c>
      <c r="E189" s="19">
        <f>VLOOKUP($A$174,Настройки!$L$2:$N$13,3,FALSE)</f>
        <v>0.6</v>
      </c>
      <c r="F189" s="20">
        <f>D189*VLOOKUP(B189,'Исходные данные'!$A$4:$G$24,2,FALSE)+E189*VLOOKUP(B189,'Исходные данные'!$A$4:$G$24,3,FALSE)+(1-D189-E189)*VLOOKUP(B189,'Исходные данные'!$A$4:$G$24,4,FALSE)</f>
        <v>0.27375523530095092</v>
      </c>
      <c r="G189" s="40">
        <f t="shared" si="51"/>
        <v>8001506.1093613924</v>
      </c>
      <c r="H189" s="21">
        <f t="shared" si="46"/>
        <v>2299205.7570811128</v>
      </c>
      <c r="I189" s="21">
        <f t="shared" si="47"/>
        <v>10697970.275880165</v>
      </c>
      <c r="J189" s="23">
        <f t="shared" si="50"/>
        <v>3965217.9122364777</v>
      </c>
      <c r="K189" s="22">
        <f t="shared" si="48"/>
        <v>1.6979526756566712</v>
      </c>
      <c r="L189" s="22">
        <f>IFERROR((1+K189)/VLOOKUP(B189,'Исходные данные'!$A$4:$G$24,6,FALSE)-1,"")</f>
        <v>-0.24210145671384664</v>
      </c>
      <c r="M189" s="20">
        <f t="shared" si="49"/>
        <v>6.3995143010215916E-2</v>
      </c>
    </row>
    <row r="190" spans="1:13" x14ac:dyDescent="0.25">
      <c r="A190" s="27" t="s">
        <v>45</v>
      </c>
      <c r="B190" s="25">
        <f>'Исходные данные'!$A20</f>
        <v>2020</v>
      </c>
      <c r="C190" s="39">
        <f>IF(AND(Таблица9[[#This Row],[Год]]&gt;=Настройки!$B$4, Таблица9[[#This Row],[Год]]&lt;=Настройки!$B$5),IFERROR(VLOOKUP(Таблица9[[#This Row],[Год]],Данные[#All],9,FALSE),0),0)</f>
        <v>409374.7909255093</v>
      </c>
      <c r="D190" s="19">
        <f>VLOOKUP($A$174,Настройки!$L$2:$N$13,2,FALSE)</f>
        <v>0.4</v>
      </c>
      <c r="E190" s="19">
        <f>VLOOKUP($A$174,Настройки!$L$2:$N$13,3,FALSE)</f>
        <v>0.6</v>
      </c>
      <c r="F190" s="20">
        <f>D190*VLOOKUP(B190,'Исходные данные'!$A$4:$G$24,2,FALSE)+E190*VLOOKUP(B190,'Исходные данные'!$A$4:$G$24,3,FALSE)+(1-D190-E190)*VLOOKUP(B190,'Исходные данные'!$A$4:$G$24,4,FALSE)</f>
        <v>0.1105421178408712</v>
      </c>
      <c r="G190" s="40">
        <f t="shared" si="51"/>
        <v>10697970.275880165</v>
      </c>
      <c r="H190" s="21">
        <f t="shared" si="46"/>
        <v>1227829.4472740523</v>
      </c>
      <c r="I190" s="21">
        <f t="shared" si="47"/>
        <v>12335174.514079727</v>
      </c>
      <c r="J190" s="23">
        <f t="shared" si="50"/>
        <v>4374592.7031619865</v>
      </c>
      <c r="K190" s="22">
        <f t="shared" si="48"/>
        <v>1.8197309672198227</v>
      </c>
      <c r="L190" s="22">
        <f>IFERROR((1+K190)/VLOOKUP(B190,'Исходные данные'!$A$4:$G$24,6,FALSE)-1,"")</f>
        <v>-0.24496422168651755</v>
      </c>
      <c r="M190" s="20">
        <f t="shared" si="49"/>
        <v>6.287649842966192E-2</v>
      </c>
    </row>
    <row r="191" spans="1:13" x14ac:dyDescent="0.25">
      <c r="A191" s="27" t="s">
        <v>45</v>
      </c>
      <c r="B191" s="25">
        <f>'Исходные данные'!$A21</f>
        <v>2021</v>
      </c>
      <c r="C191" s="39">
        <f>IF(AND(Таблица9[[#This Row],[Год]]&gt;=Настройки!$B$4, Таблица9[[#This Row],[Год]]&lt;=Настройки!$B$5),IFERROR(VLOOKUP(Таблица9[[#This Row],[Год]],Данные[#All],9,FALSE),0),0)</f>
        <v>429475.09315995179</v>
      </c>
      <c r="D191" s="19">
        <f>VLOOKUP($A$174,Настройки!$L$2:$N$13,2,FALSE)</f>
        <v>0.4</v>
      </c>
      <c r="E191" s="19">
        <f>VLOOKUP($A$174,Настройки!$L$2:$N$13,3,FALSE)</f>
        <v>0.6</v>
      </c>
      <c r="F191" s="20">
        <f>D191*VLOOKUP(B191,'Исходные данные'!$A$4:$G$24,2,FALSE)+E191*VLOOKUP(B191,'Исходные данные'!$A$4:$G$24,3,FALSE)+(1-D191-E191)*VLOOKUP(B191,'Исходные данные'!$A$4:$G$24,4,FALSE)</f>
        <v>5.692183370019107E-2</v>
      </c>
      <c r="G191" s="40">
        <f t="shared" si="51"/>
        <v>12335174.514079727</v>
      </c>
      <c r="H191" s="21">
        <f t="shared" si="46"/>
        <v>726587.26218450628</v>
      </c>
      <c r="I191" s="21">
        <f t="shared" si="47"/>
        <v>13491236.869424185</v>
      </c>
      <c r="J191" s="23">
        <f t="shared" si="50"/>
        <v>4804067.7963219387</v>
      </c>
      <c r="K191" s="22">
        <f t="shared" si="48"/>
        <v>1.8082944374251473</v>
      </c>
      <c r="L191" s="22">
        <f>IFERROR((1+K191)/VLOOKUP(B191,'Исходные данные'!$A$4:$G$24,6,FALSE)-1,"")</f>
        <v>-0.30623357019860353</v>
      </c>
      <c r="M191" s="20">
        <f t="shared" si="49"/>
        <v>5.9042721989692071E-2</v>
      </c>
    </row>
    <row r="192" spans="1:13" x14ac:dyDescent="0.25">
      <c r="A192" s="27" t="s">
        <v>45</v>
      </c>
      <c r="B192" s="25">
        <f>'Исходные данные'!$A22</f>
        <v>2022</v>
      </c>
      <c r="C192" s="39">
        <f>IF(AND(Таблица9[[#This Row],[Год]]&gt;=Настройки!$B$4, Таблица9[[#This Row],[Год]]&lt;=Настройки!$B$5),IFERROR(VLOOKUP(Таблица9[[#This Row],[Год]],Данные[#All],9,FALSE),0),0)</f>
        <v>465508.0534760718</v>
      </c>
      <c r="D192" s="19">
        <f>VLOOKUP($A$174,Настройки!$L$2:$N$13,2,FALSE)</f>
        <v>0.4</v>
      </c>
      <c r="E192" s="19">
        <f>VLOOKUP($A$174,Настройки!$L$2:$N$13,3,FALSE)</f>
        <v>0.6</v>
      </c>
      <c r="F192" s="20">
        <f>D192*VLOOKUP(B192,'Исходные данные'!$A$4:$G$24,2,FALSE)+E192*VLOOKUP(B192,'Исходные данные'!$A$4:$G$24,3,FALSE)+(1-D192-E192)*VLOOKUP(B192,'Исходные данные'!$A$4:$G$24,4,FALSE)</f>
        <v>-0.12606749594608804</v>
      </c>
      <c r="G192" s="40">
        <f t="shared" si="51"/>
        <v>13491236.869424185</v>
      </c>
      <c r="H192" s="21">
        <f t="shared" si="46"/>
        <v>-1759491.8839883129</v>
      </c>
      <c r="I192" s="21">
        <f t="shared" si="47"/>
        <v>12197253.038911942</v>
      </c>
      <c r="J192" s="23">
        <f t="shared" si="50"/>
        <v>5269575.8497980107</v>
      </c>
      <c r="K192" s="22">
        <f t="shared" si="48"/>
        <v>1.3146555598738516</v>
      </c>
      <c r="L192" s="22">
        <f>IFERROR((1+K192)/VLOOKUP(B192,'Исходные данные'!$A$4:$G$24,6,FALSE)-1,"")</f>
        <v>-0.48917550722667025</v>
      </c>
      <c r="M192" s="20">
        <f t="shared" si="49"/>
        <v>4.5161716214188408E-2</v>
      </c>
    </row>
    <row r="193" spans="1:14" x14ac:dyDescent="0.25">
      <c r="A193" s="27" t="s">
        <v>45</v>
      </c>
      <c r="B193" s="25">
        <f>'Исходные данные'!$A23</f>
        <v>2023</v>
      </c>
      <c r="C193" s="39">
        <f>IF(AND(Таблица9[[#This Row],[Год]]&gt;=Настройки!$B$4, Таблица9[[#This Row],[Год]]&lt;=Настройки!$B$5),IFERROR(VLOOKUP(Таблица9[[#This Row],[Год]],Данные[#All],9,FALSE),0),0)</f>
        <v>521089.71506111475</v>
      </c>
      <c r="D193" s="19">
        <f>VLOOKUP($A$174,Настройки!$L$2:$N$13,2,FALSE)</f>
        <v>0.4</v>
      </c>
      <c r="E193" s="19">
        <f>VLOOKUP($A$174,Настройки!$L$2:$N$13,3,FALSE)</f>
        <v>0.6</v>
      </c>
      <c r="F193" s="20">
        <f>D193*VLOOKUP(B193,'Исходные данные'!$A$4:$G$24,2,FALSE)+E193*VLOOKUP(B193,'Исходные данные'!$A$4:$G$24,3,FALSE)+(1-D193-E193)*VLOOKUP(B193,'Исходные данные'!$A$4:$G$24,4,FALSE)</f>
        <v>0.21990115230512272</v>
      </c>
      <c r="G193" s="40">
        <f t="shared" si="51"/>
        <v>12197253.038911942</v>
      </c>
      <c r="H193" s="21">
        <f t="shared" si="46"/>
        <v>2796778.2270101835</v>
      </c>
      <c r="I193" s="21">
        <f t="shared" si="47"/>
        <v>15515120.980983241</v>
      </c>
      <c r="J193" s="23">
        <f t="shared" si="50"/>
        <v>5790665.5648591258</v>
      </c>
      <c r="K193" s="22">
        <f t="shared" si="48"/>
        <v>1.679332938019654</v>
      </c>
      <c r="L193" s="22">
        <f>IFERROR((1+K193)/VLOOKUP(B193,'Исходные данные'!$A$4:$G$24,6,FALSE)-1,"")</f>
        <v>-0.44953859543099806</v>
      </c>
      <c r="M193" s="20">
        <f t="shared" si="49"/>
        <v>5.0512765425737349E-2</v>
      </c>
    </row>
    <row r="194" spans="1:14" x14ac:dyDescent="0.25">
      <c r="A194" s="32" t="s">
        <v>45</v>
      </c>
      <c r="B194" s="33">
        <f>'Исходные данные'!$A24</f>
        <v>2024</v>
      </c>
      <c r="C194" s="39">
        <f>IF(AND(Таблица9[[#This Row],[Год]]&gt;=Настройки!$B$4, Таблица9[[#This Row],[Год]]&lt;=Настройки!$B$5),IFERROR(VLOOKUP(Таблица9[[#This Row],[Год]],Данные[#All],9,FALSE),0),0)</f>
        <v>559754.57191864948</v>
      </c>
      <c r="D194" s="34">
        <f>VLOOKUP($A$174,Настройки!$L$2:$N$13,2,FALSE)</f>
        <v>0.4</v>
      </c>
      <c r="E194" s="34">
        <f>VLOOKUP($A$174,Настройки!$L$2:$N$13,3,FALSE)</f>
        <v>0.6</v>
      </c>
      <c r="F194" s="35">
        <f>D194*VLOOKUP(B194,'Исходные данные'!$A$4:$G$24,2,FALSE)+E194*VLOOKUP(B194,'Исходные данные'!$A$4:$G$24,3,FALSE)+(1-D194-E194)*VLOOKUP(B194,'Исходные данные'!$A$4:$G$24,4,FALSE)</f>
        <v>-4.5385779312538156E-2</v>
      </c>
      <c r="G194" s="41">
        <f t="shared" si="51"/>
        <v>15515120.980983241</v>
      </c>
      <c r="H194" s="36">
        <f t="shared" si="46"/>
        <v>-729570.75432051998</v>
      </c>
      <c r="I194" s="36">
        <f t="shared" si="47"/>
        <v>15345304.798581369</v>
      </c>
      <c r="J194" s="37">
        <f t="shared" si="50"/>
        <v>6350420.1367777754</v>
      </c>
      <c r="K194" s="22">
        <f t="shared" si="48"/>
        <v>1.4164235543583465</v>
      </c>
      <c r="L194" s="22">
        <f>IFERROR((1+K194)/VLOOKUP(B194,'Исходные данные'!$A$4:$G$24,6,FALSE)-1,"")</f>
        <v>-0.54670616115924409</v>
      </c>
      <c r="M194" s="20">
        <f t="shared" si="49"/>
        <v>4.2908810053949642E-2</v>
      </c>
    </row>
    <row r="197" spans="1:14" ht="30" x14ac:dyDescent="0.25">
      <c r="A197" s="28" t="s">
        <v>50</v>
      </c>
      <c r="B197" s="29" t="s">
        <v>10</v>
      </c>
      <c r="C197" s="28" t="s">
        <v>37</v>
      </c>
      <c r="D197" s="30" t="s">
        <v>53</v>
      </c>
      <c r="E197" s="30" t="s">
        <v>54</v>
      </c>
      <c r="F197" s="30" t="s">
        <v>55</v>
      </c>
      <c r="G197" s="30" t="s">
        <v>56</v>
      </c>
      <c r="H197" s="30" t="s">
        <v>57</v>
      </c>
      <c r="I197" s="30" t="s">
        <v>80</v>
      </c>
      <c r="J197" s="30" t="s">
        <v>79</v>
      </c>
      <c r="K197" s="30" t="s">
        <v>38</v>
      </c>
      <c r="L197" s="30" t="s">
        <v>83</v>
      </c>
      <c r="M197" s="31" t="s">
        <v>59</v>
      </c>
    </row>
    <row r="198" spans="1:14" x14ac:dyDescent="0.25">
      <c r="A198" s="27" t="s">
        <v>46</v>
      </c>
      <c r="B198" s="25">
        <f>'Исходные данные'!$A4</f>
        <v>2004</v>
      </c>
      <c r="C198" s="39">
        <f>IF(AND(Таблица8[[#This Row],[Год]]&gt;=Настройки!$B$4, Таблица8[[#This Row],[Год]]&lt;=Настройки!$B$5),IFERROR(VLOOKUP(Таблица8[[#This Row],[Год]],Данные[#All],9,FALSE),0),0)</f>
        <v>115000</v>
      </c>
      <c r="D198" s="19">
        <f>VLOOKUP($A$198,Настройки!$L$2:$N$13,2,FALSE)</f>
        <v>0.6</v>
      </c>
      <c r="E198" s="19">
        <f>VLOOKUP($A$198,Настройки!$L$2:$N$13,3,FALSE)</f>
        <v>0.4</v>
      </c>
      <c r="F198" s="20">
        <f>D198*VLOOKUP(B198,'Исходные данные'!$A$4:$G$24,2,FALSE)+E198*VLOOKUP(B198,'Исходные данные'!$A$4:$G$24,3,FALSE)+(1-D198-E198)*VLOOKUP(B198,'Исходные данные'!$A$4:$G$24,4,FALSE)</f>
        <v>8.7286228768361743E-2</v>
      </c>
      <c r="G198" s="39">
        <f>0</f>
        <v>0</v>
      </c>
      <c r="H198" s="21">
        <f>(G198+C198)*F198</f>
        <v>10037.9163083616</v>
      </c>
      <c r="I198" s="21">
        <f>G198+C198+H198</f>
        <v>125037.9163083616</v>
      </c>
      <c r="J198" s="21">
        <f>C198</f>
        <v>115000</v>
      </c>
      <c r="K198" s="22">
        <f>IFERROR((I198-J198)/J198,"")</f>
        <v>8.7286228768361743E-2</v>
      </c>
      <c r="L198" s="22">
        <f>IFERROR((1+K198)/VLOOKUP(B198,'Исходные данные'!$A$4:$G$24,6,FALSE)-1,"")</f>
        <v>-2.6949857912688557E-2</v>
      </c>
      <c r="M198" s="20">
        <f>IFERROR((I198/J198)^(1/(B198-$B$198+1))-1,"")</f>
        <v>8.7286228768361784E-2</v>
      </c>
      <c r="N198" s="24"/>
    </row>
    <row r="199" spans="1:14" x14ac:dyDescent="0.25">
      <c r="A199" s="27" t="s">
        <v>46</v>
      </c>
      <c r="B199" s="25">
        <f>'Исходные данные'!$A5</f>
        <v>2005</v>
      </c>
      <c r="C199" s="39">
        <f>IF(AND(Таблица8[[#This Row],[Год]]&gt;=Настройки!$B$4, Таблица8[[#This Row],[Год]]&lt;=Настройки!$B$5),IFERROR(VLOOKUP(Таблица8[[#This Row],[Год]],Данные[#All],9,FALSE),0),0)</f>
        <v>128501</v>
      </c>
      <c r="D199" s="19">
        <f>VLOOKUP($A$198,Настройки!$L$2:$N$13,2,FALSE)</f>
        <v>0.6</v>
      </c>
      <c r="E199" s="19">
        <f>VLOOKUP($A$198,Настройки!$L$2:$N$13,3,FALSE)</f>
        <v>0.4</v>
      </c>
      <c r="F199" s="20">
        <f>D199*VLOOKUP(B199,'Исходные данные'!$A$4:$G$24,2,FALSE)+E199*VLOOKUP(B199,'Исходные данные'!$A$4:$G$24,3,FALSE)+(1-D199-E199)*VLOOKUP(B199,'Исходные данные'!$A$4:$G$24,4,FALSE)</f>
        <v>0.55581145901489282</v>
      </c>
      <c r="G199" s="40">
        <f>I198</f>
        <v>125037.9163083616</v>
      </c>
      <c r="H199" s="21">
        <f t="shared" ref="H199:H218" si="52">(G199+C199)*F199</f>
        <v>140919.83499040527</v>
      </c>
      <c r="I199" s="21">
        <f t="shared" ref="I199:I218" si="53">G199+C199+H199</f>
        <v>394458.75129876687</v>
      </c>
      <c r="J199" s="23">
        <f>J198+C199</f>
        <v>243501</v>
      </c>
      <c r="K199" s="22">
        <f t="shared" ref="K199:K218" si="54">IFERROR((I199-J199)/J199,"")</f>
        <v>0.61994715134133693</v>
      </c>
      <c r="L199" s="22">
        <f>IFERROR((1+K199)/VLOOKUP(B199,'Исходные данные'!$A$4:$G$24,6,FALSE)-1,"")</f>
        <v>0.30713810200077973</v>
      </c>
      <c r="M199" s="20">
        <f t="shared" ref="M199:M218" si="55">IFERROR((I199/J199)^(1/(B199-$B$198+1))-1,"")</f>
        <v>0.27277144505262085</v>
      </c>
    </row>
    <row r="200" spans="1:14" x14ac:dyDescent="0.25">
      <c r="A200" s="27" t="s">
        <v>46</v>
      </c>
      <c r="B200" s="25">
        <f>'Исходные данные'!$A6</f>
        <v>2006</v>
      </c>
      <c r="C200" s="39">
        <f>IF(AND(Таблица8[[#This Row],[Год]]&gt;=Настройки!$B$4, Таблица8[[#This Row],[Год]]&lt;=Настройки!$B$5),IFERROR(VLOOKUP(Таблица8[[#This Row],[Год]],Данные[#All],9,FALSE),0),0)</f>
        <v>142520.45910000001</v>
      </c>
      <c r="D200" s="19">
        <f>VLOOKUP($A$198,Настройки!$L$2:$N$13,2,FALSE)</f>
        <v>0.6</v>
      </c>
      <c r="E200" s="19">
        <f>VLOOKUP($A$198,Настройки!$L$2:$N$13,3,FALSE)</f>
        <v>0.4</v>
      </c>
      <c r="F200" s="20">
        <f>D200*VLOOKUP(B200,'Исходные данные'!$A$4:$G$24,2,FALSE)+E200*VLOOKUP(B200,'Исходные данные'!$A$4:$G$24,3,FALSE)+(1-D200-E200)*VLOOKUP(B200,'Исходные данные'!$A$4:$G$24,4,FALSE)</f>
        <v>0.44627977798500118</v>
      </c>
      <c r="G200" s="40">
        <f>I199</f>
        <v>394458.75129876687</v>
      </c>
      <c r="H200" s="21">
        <f t="shared" si="52"/>
        <v>239642.96279932294</v>
      </c>
      <c r="I200" s="21">
        <f t="shared" si="53"/>
        <v>776622.17319808982</v>
      </c>
      <c r="J200" s="23">
        <f t="shared" ref="J200:J218" si="56">J199+C200</f>
        <v>386021.45909999998</v>
      </c>
      <c r="K200" s="22">
        <f t="shared" si="54"/>
        <v>1.0118626954282963</v>
      </c>
      <c r="L200" s="22">
        <f>IFERROR((1+K200)/VLOOKUP(B200,'Исходные данные'!$A$4:$G$24,6,FALSE)-1,"")</f>
        <v>0.4893352465747558</v>
      </c>
      <c r="M200" s="20">
        <f t="shared" si="55"/>
        <v>0.26240715099090517</v>
      </c>
    </row>
    <row r="201" spans="1:14" x14ac:dyDescent="0.25">
      <c r="A201" s="27" t="s">
        <v>46</v>
      </c>
      <c r="B201" s="25">
        <f>'Исходные данные'!$A7</f>
        <v>2007</v>
      </c>
      <c r="C201" s="39">
        <f>IF(AND(Таблица8[[#This Row],[Год]]&gt;=Настройки!$B$4, Таблица8[[#This Row],[Год]]&lt;=Настройки!$B$5),IFERROR(VLOOKUP(Таблица8[[#This Row],[Год]],Данные[#All],9,FALSE),0),0)</f>
        <v>155347.30041900001</v>
      </c>
      <c r="D201" s="19">
        <f>VLOOKUP($A$198,Настройки!$L$2:$N$13,2,FALSE)</f>
        <v>0.6</v>
      </c>
      <c r="E201" s="19">
        <f>VLOOKUP($A$198,Настройки!$L$2:$N$13,3,FALSE)</f>
        <v>0.4</v>
      </c>
      <c r="F201" s="20">
        <f>D201*VLOOKUP(B201,'Исходные данные'!$A$4:$G$24,2,FALSE)+E201*VLOOKUP(B201,'Исходные данные'!$A$4:$G$24,3,FALSE)+(1-D201-E201)*VLOOKUP(B201,'Исходные данные'!$A$4:$G$24,4,FALSE)</f>
        <v>0.10551804501759378</v>
      </c>
      <c r="G201" s="40">
        <f t="shared" ref="G201:G218" si="57">I200</f>
        <v>776622.17319808982</v>
      </c>
      <c r="H201" s="21">
        <f t="shared" si="52"/>
        <v>98339.596872151262</v>
      </c>
      <c r="I201" s="21">
        <f t="shared" si="53"/>
        <v>1030309.070489241</v>
      </c>
      <c r="J201" s="23">
        <f t="shared" si="56"/>
        <v>541368.75951899996</v>
      </c>
      <c r="K201" s="22">
        <f t="shared" si="54"/>
        <v>0.90315575543121296</v>
      </c>
      <c r="L201" s="22">
        <f>IFERROR((1+K201)/VLOOKUP(B201,'Исходные данные'!$A$4:$G$24,6,FALSE)-1,"")</f>
        <v>0.25937429391733757</v>
      </c>
      <c r="M201" s="20">
        <f t="shared" si="55"/>
        <v>0.17454208655602454</v>
      </c>
    </row>
    <row r="202" spans="1:14" x14ac:dyDescent="0.25">
      <c r="A202" s="27" t="s">
        <v>46</v>
      </c>
      <c r="B202" s="25">
        <f>'Исходные данные'!$A8</f>
        <v>2008</v>
      </c>
      <c r="C202" s="39">
        <f>IF(AND(Таблица8[[#This Row],[Год]]&gt;=Настройки!$B$4, Таблица8[[#This Row],[Год]]&lt;=Настройки!$B$5),IFERROR(VLOOKUP(Таблица8[[#This Row],[Год]],Данные[#All],9,FALSE),0),0)</f>
        <v>173787.02497873531</v>
      </c>
      <c r="D202" s="19">
        <f>VLOOKUP($A$198,Настройки!$L$2:$N$13,2,FALSE)</f>
        <v>0.6</v>
      </c>
      <c r="E202" s="19">
        <f>VLOOKUP($A$198,Настройки!$L$2:$N$13,3,FALSE)</f>
        <v>0.4</v>
      </c>
      <c r="F202" s="20">
        <f>D202*VLOOKUP(B202,'Исходные данные'!$A$4:$G$24,2,FALSE)+E202*VLOOKUP(B202,'Исходные данные'!$A$4:$G$24,3,FALSE)+(1-D202-E202)*VLOOKUP(B202,'Исходные данные'!$A$4:$G$24,4,FALSE)</f>
        <v>-0.42186563928433934</v>
      </c>
      <c r="G202" s="40">
        <f t="shared" si="57"/>
        <v>1030309.070489241</v>
      </c>
      <c r="H202" s="21">
        <f t="shared" si="52"/>
        <v>-507966.76907437469</v>
      </c>
      <c r="I202" s="21">
        <f t="shared" si="53"/>
        <v>696129.3263936016</v>
      </c>
      <c r="J202" s="23">
        <f t="shared" si="56"/>
        <v>715155.78449773532</v>
      </c>
      <c r="K202" s="22">
        <f t="shared" si="54"/>
        <v>-2.6604634286075571E-2</v>
      </c>
      <c r="L202" s="22">
        <f>IFERROR((1+K202)/VLOOKUP(B202,'Исходные данные'!$A$4:$G$24,6,FALSE)-1,"")</f>
        <v>-0.43138733912497973</v>
      </c>
      <c r="M202" s="20">
        <f t="shared" si="55"/>
        <v>-5.3784724483628699E-3</v>
      </c>
    </row>
    <row r="203" spans="1:14" x14ac:dyDescent="0.25">
      <c r="A203" s="27" t="s">
        <v>46</v>
      </c>
      <c r="B203" s="25">
        <f>'Исходные данные'!$A9</f>
        <v>2009</v>
      </c>
      <c r="C203" s="39">
        <f>IF(AND(Таблица8[[#This Row],[Год]]&gt;=Настройки!$B$4, Таблица8[[#This Row],[Год]]&lt;=Настройки!$B$5),IFERROR(VLOOKUP(Таблица8[[#This Row],[Год]],Данные[#All],9,FALSE),0),0)</f>
        <v>196865.94189591135</v>
      </c>
      <c r="D203" s="19">
        <f>VLOOKUP($A$198,Настройки!$L$2:$N$13,2,FALSE)</f>
        <v>0.6</v>
      </c>
      <c r="E203" s="19">
        <f>VLOOKUP($A$198,Настройки!$L$2:$N$13,3,FALSE)</f>
        <v>0.4</v>
      </c>
      <c r="F203" s="20">
        <f>D203*VLOOKUP(B203,'Исходные данные'!$A$4:$G$24,2,FALSE)+E203*VLOOKUP(B203,'Исходные данные'!$A$4:$G$24,3,FALSE)+(1-D203-E203)*VLOOKUP(B203,'Исходные данные'!$A$4:$G$24,4,FALSE)</f>
        <v>0.89796629032163167</v>
      </c>
      <c r="G203" s="40">
        <f t="shared" si="57"/>
        <v>696129.3263936016</v>
      </c>
      <c r="H203" s="21">
        <f t="shared" si="52"/>
        <v>801879.64834070415</v>
      </c>
      <c r="I203" s="21">
        <f t="shared" si="53"/>
        <v>1694874.9166302171</v>
      </c>
      <c r="J203" s="23">
        <f t="shared" si="56"/>
        <v>912021.72639364668</v>
      </c>
      <c r="K203" s="22">
        <f t="shared" si="54"/>
        <v>0.85837120715551407</v>
      </c>
      <c r="L203" s="22">
        <f>IFERROR((1+K203)/VLOOKUP(B203,'Исходные данные'!$A$4:$G$24,6,FALSE)-1,"")</f>
        <v>-2.2291219810872676E-3</v>
      </c>
      <c r="M203" s="20">
        <f t="shared" si="55"/>
        <v>0.10880560172377085</v>
      </c>
    </row>
    <row r="204" spans="1:14" x14ac:dyDescent="0.25">
      <c r="A204" s="27" t="s">
        <v>46</v>
      </c>
      <c r="B204" s="25">
        <f>'Исходные данные'!$A10</f>
        <v>2010</v>
      </c>
      <c r="C204" s="39">
        <f>IF(AND(Таблица8[[#This Row],[Год]]&gt;=Настройки!$B$4, Таблица8[[#This Row],[Год]]&lt;=Настройки!$B$5),IFERROR(VLOOKUP(Таблица8[[#This Row],[Год]],Данные[#All],9,FALSE),0),0)</f>
        <v>214190.14478275157</v>
      </c>
      <c r="D204" s="19">
        <f>VLOOKUP($A$198,Настройки!$L$2:$N$13,2,FALSE)</f>
        <v>0.6</v>
      </c>
      <c r="E204" s="19">
        <f>VLOOKUP($A$198,Настройки!$L$2:$N$13,3,FALSE)</f>
        <v>0.4</v>
      </c>
      <c r="F204" s="20">
        <f>D204*VLOOKUP(B204,'Исходные данные'!$A$4:$G$24,2,FALSE)+E204*VLOOKUP(B204,'Исходные данные'!$A$4:$G$24,3,FALSE)+(1-D204-E204)*VLOOKUP(B204,'Исходные данные'!$A$4:$G$24,4,FALSE)</f>
        <v>0.19629819174992594</v>
      </c>
      <c r="G204" s="40">
        <f t="shared" si="57"/>
        <v>1694874.9166302171</v>
      </c>
      <c r="H204" s="21">
        <f t="shared" si="52"/>
        <v>374746.01948832709</v>
      </c>
      <c r="I204" s="21">
        <f t="shared" si="53"/>
        <v>2283811.0809012959</v>
      </c>
      <c r="J204" s="23">
        <f t="shared" si="56"/>
        <v>1126211.8711763984</v>
      </c>
      <c r="K204" s="22">
        <f t="shared" si="54"/>
        <v>1.0278698345771415</v>
      </c>
      <c r="L204" s="22">
        <f>IFERROR((1+K204)/VLOOKUP(B204,'Исходные данные'!$A$4:$G$24,6,FALSE)-1,"")</f>
        <v>8.9697439556202241E-4</v>
      </c>
      <c r="M204" s="20">
        <f t="shared" si="55"/>
        <v>0.10627441333502108</v>
      </c>
    </row>
    <row r="205" spans="1:14" x14ac:dyDescent="0.25">
      <c r="A205" s="27" t="s">
        <v>46</v>
      </c>
      <c r="B205" s="25">
        <f>'Исходные данные'!$A11</f>
        <v>2011</v>
      </c>
      <c r="C205" s="39">
        <f>IF(AND(Таблица8[[#This Row],[Год]]&gt;=Настройки!$B$4, Таблица8[[#This Row],[Год]]&lt;=Настройки!$B$5),IFERROR(VLOOKUP(Таблица8[[#This Row],[Год]],Данные[#All],9,FALSE),0),0)</f>
        <v>232996.03949467718</v>
      </c>
      <c r="D205" s="19">
        <f>VLOOKUP($A$198,Настройки!$L$2:$N$13,2,FALSE)</f>
        <v>0.6</v>
      </c>
      <c r="E205" s="19">
        <f>VLOOKUP($A$198,Настройки!$L$2:$N$13,3,FALSE)</f>
        <v>0.4</v>
      </c>
      <c r="F205" s="20">
        <f>D205*VLOOKUP(B205,'Исходные данные'!$A$4:$G$24,2,FALSE)+E205*VLOOKUP(B205,'Исходные данные'!$A$4:$G$24,3,FALSE)+(1-D205-E205)*VLOOKUP(B205,'Исходные данные'!$A$4:$G$24,4,FALSE)</f>
        <v>-6.3554718002965943E-2</v>
      </c>
      <c r="G205" s="40">
        <f t="shared" si="57"/>
        <v>2283811.0809012959</v>
      </c>
      <c r="H205" s="21">
        <f t="shared" si="52"/>
        <v>-159954.96680462282</v>
      </c>
      <c r="I205" s="21">
        <f t="shared" si="53"/>
        <v>2356852.1535913502</v>
      </c>
      <c r="J205" s="23">
        <f t="shared" si="56"/>
        <v>1359207.9106710756</v>
      </c>
      <c r="K205" s="22">
        <f t="shared" si="54"/>
        <v>0.7339894324391566</v>
      </c>
      <c r="L205" s="22">
        <f>IFERROR((1+K205)/VLOOKUP(B205,'Исходные данные'!$A$4:$G$24,6,FALSE)-1,"")</f>
        <v>-0.19335886739735064</v>
      </c>
      <c r="M205" s="20">
        <f t="shared" si="55"/>
        <v>7.1225261986412436E-2</v>
      </c>
    </row>
    <row r="206" spans="1:14" x14ac:dyDescent="0.25">
      <c r="A206" s="27" t="s">
        <v>46</v>
      </c>
      <c r="B206" s="25">
        <f>'Исходные данные'!$A12</f>
        <v>2012</v>
      </c>
      <c r="C206" s="39">
        <f>IF(AND(Таблица8[[#This Row],[Год]]&gt;=Настройки!$B$4, Таблица8[[#This Row],[Год]]&lt;=Настройки!$B$5),IFERROR(VLOOKUP(Таблица8[[#This Row],[Год]],Данные[#All],9,FALSE),0),0)</f>
        <v>247208.79790385248</v>
      </c>
      <c r="D206" s="19">
        <f>VLOOKUP($A$198,Настройки!$L$2:$N$13,2,FALSE)</f>
        <v>0.6</v>
      </c>
      <c r="E206" s="19">
        <f>VLOOKUP($A$198,Настройки!$L$2:$N$13,3,FALSE)</f>
        <v>0.4</v>
      </c>
      <c r="F206" s="20">
        <f>D206*VLOOKUP(B206,'Исходные данные'!$A$4:$G$24,2,FALSE)+E206*VLOOKUP(B206,'Исходные данные'!$A$4:$G$24,3,FALSE)+(1-D206-E206)*VLOOKUP(B206,'Исходные данные'!$A$4:$G$24,4,FALSE)</f>
        <v>0.11119719932257292</v>
      </c>
      <c r="G206" s="40">
        <f t="shared" si="57"/>
        <v>2356852.1535913502</v>
      </c>
      <c r="H206" s="21">
        <f t="shared" si="52"/>
        <v>289564.28467154095</v>
      </c>
      <c r="I206" s="21">
        <f t="shared" si="53"/>
        <v>2893625.2361667436</v>
      </c>
      <c r="J206" s="23">
        <f t="shared" si="56"/>
        <v>1606416.7085749281</v>
      </c>
      <c r="K206" s="22">
        <f t="shared" si="54"/>
        <v>0.80129179478823642</v>
      </c>
      <c r="L206" s="22">
        <f>IFERROR((1+K206)/VLOOKUP(B206,'Исходные данные'!$A$4:$G$24,6,FALSE)-1,"")</f>
        <v>-0.2137832855430627</v>
      </c>
      <c r="M206" s="20">
        <f t="shared" si="55"/>
        <v>6.7574594309769642E-2</v>
      </c>
    </row>
    <row r="207" spans="1:14" x14ac:dyDescent="0.25">
      <c r="A207" s="27" t="s">
        <v>46</v>
      </c>
      <c r="B207" s="25">
        <f>'Исходные данные'!$A13</f>
        <v>2013</v>
      </c>
      <c r="C207" s="39">
        <f>IF(AND(Таблица8[[#This Row],[Год]]&gt;=Настройки!$B$4, Таблица8[[#This Row],[Год]]&lt;=Настройки!$B$5),IFERROR(VLOOKUP(Таблица8[[#This Row],[Год]],Данные[#All],9,FALSE),0),0)</f>
        <v>263475.13680592598</v>
      </c>
      <c r="D207" s="19">
        <f>VLOOKUP($A$198,Настройки!$L$2:$N$13,2,FALSE)</f>
        <v>0.6</v>
      </c>
      <c r="E207" s="19">
        <f>VLOOKUP($A$198,Настройки!$L$2:$N$13,3,FALSE)</f>
        <v>0.4</v>
      </c>
      <c r="F207" s="20">
        <f>D207*VLOOKUP(B207,'Исходные данные'!$A$4:$G$24,2,FALSE)+E207*VLOOKUP(B207,'Исходные данные'!$A$4:$G$24,3,FALSE)+(1-D207-E207)*VLOOKUP(B207,'Исходные данные'!$A$4:$G$24,4,FALSE)</f>
        <v>5.3098113728113239E-2</v>
      </c>
      <c r="G207" s="40">
        <f t="shared" si="57"/>
        <v>2893625.2361667436</v>
      </c>
      <c r="H207" s="21">
        <f t="shared" si="52"/>
        <v>167636.07465517154</v>
      </c>
      <c r="I207" s="21">
        <f t="shared" si="53"/>
        <v>3324736.447627841</v>
      </c>
      <c r="J207" s="23">
        <f t="shared" si="56"/>
        <v>1869891.8453808541</v>
      </c>
      <c r="K207" s="22">
        <f t="shared" si="54"/>
        <v>0.77803676498234497</v>
      </c>
      <c r="L207" s="22">
        <f>IFERROR((1+K207)/VLOOKUP(B207,'Исходные данные'!$A$4:$G$24,6,FALSE)-1,"")</f>
        <v>-0.27095678467484463</v>
      </c>
      <c r="M207" s="20">
        <f t="shared" si="55"/>
        <v>5.9239270842286862E-2</v>
      </c>
    </row>
    <row r="208" spans="1:14" x14ac:dyDescent="0.25">
      <c r="A208" s="27" t="s">
        <v>46</v>
      </c>
      <c r="B208" s="25">
        <f>'Исходные данные'!$A14</f>
        <v>2014</v>
      </c>
      <c r="C208" s="39">
        <f>IF(AND(Таблица8[[#This Row],[Год]]&gt;=Настройки!$B$4, Таблица8[[#This Row],[Год]]&lt;=Настройки!$B$5),IFERROR(VLOOKUP(Таблица8[[#This Row],[Год]],Данные[#All],9,FALSE),0),0)</f>
        <v>280469.2831299082</v>
      </c>
      <c r="D208" s="19">
        <f>VLOOKUP($A$198,Настройки!$L$2:$N$13,2,FALSE)</f>
        <v>0.6</v>
      </c>
      <c r="E208" s="19">
        <f>VLOOKUP($A$198,Настройки!$L$2:$N$13,3,FALSE)</f>
        <v>0.4</v>
      </c>
      <c r="F208" s="20">
        <f>D208*VLOOKUP(B208,'Исходные данные'!$A$4:$G$24,2,FALSE)+E208*VLOOKUP(B208,'Исходные данные'!$A$4:$G$24,3,FALSE)+(1-D208-E208)*VLOOKUP(B208,'Исходные данные'!$A$4:$G$24,4,FALSE)</f>
        <v>-6.8486491020742779E-2</v>
      </c>
      <c r="G208" s="40">
        <f t="shared" si="57"/>
        <v>3324736.447627841</v>
      </c>
      <c r="H208" s="21">
        <f t="shared" si="52"/>
        <v>-246907.88990747099</v>
      </c>
      <c r="I208" s="21">
        <f t="shared" si="53"/>
        <v>3358297.8408502783</v>
      </c>
      <c r="J208" s="23">
        <f t="shared" si="56"/>
        <v>2150361.1285107625</v>
      </c>
      <c r="K208" s="22">
        <f t="shared" si="54"/>
        <v>0.5617366759117689</v>
      </c>
      <c r="L208" s="22">
        <f>IFERROR((1+K208)/VLOOKUP(B208,'Исходные данные'!$A$4:$G$24,6,FALSE)-1,"")</f>
        <v>-0.42496917895235053</v>
      </c>
      <c r="M208" s="20">
        <f t="shared" si="55"/>
        <v>4.1359563850767112E-2</v>
      </c>
    </row>
    <row r="209" spans="1:14" x14ac:dyDescent="0.25">
      <c r="A209" s="27" t="s">
        <v>46</v>
      </c>
      <c r="B209" s="25">
        <f>'Исходные данные'!$A15</f>
        <v>2015</v>
      </c>
      <c r="C209" s="39">
        <f>IF(AND(Таблица8[[#This Row],[Год]]&gt;=Настройки!$B$4, Таблица8[[#This Row],[Год]]&lt;=Настройки!$B$5),IFERROR(VLOOKUP(Таблица8[[#This Row],[Год]],Данные[#All],9,FALSE),0),0)</f>
        <v>312330.59369346575</v>
      </c>
      <c r="D209" s="19">
        <f>VLOOKUP($A$198,Настройки!$L$2:$N$13,2,FALSE)</f>
        <v>0.6</v>
      </c>
      <c r="E209" s="19">
        <f>VLOOKUP($A$198,Настройки!$L$2:$N$13,3,FALSE)</f>
        <v>0.4</v>
      </c>
      <c r="F209" s="20">
        <f>D209*VLOOKUP(B209,'Исходные данные'!$A$4:$G$24,2,FALSE)+E209*VLOOKUP(B209,'Исходные данные'!$A$4:$G$24,3,FALSE)+(1-D209-E209)*VLOOKUP(B209,'Исходные данные'!$A$4:$G$24,4,FALSE)</f>
        <v>0.31187358399568355</v>
      </c>
      <c r="G209" s="40">
        <f t="shared" si="57"/>
        <v>3358297.8408502783</v>
      </c>
      <c r="H209" s="21">
        <f t="shared" si="52"/>
        <v>1144772.0453976227</v>
      </c>
      <c r="I209" s="21">
        <f t="shared" si="53"/>
        <v>4815400.4799413672</v>
      </c>
      <c r="J209" s="23">
        <f t="shared" si="56"/>
        <v>2462691.7222042284</v>
      </c>
      <c r="K209" s="22">
        <f t="shared" si="54"/>
        <v>0.95534034427636383</v>
      </c>
      <c r="L209" s="22">
        <f>IFERROR((1+K209)/VLOOKUP(B209,'Исходные данные'!$A$4:$G$24,6,FALSE)-1,"")</f>
        <v>-0.36236335601866965</v>
      </c>
      <c r="M209" s="20">
        <f t="shared" si="55"/>
        <v>5.7471155685861142E-2</v>
      </c>
    </row>
    <row r="210" spans="1:14" x14ac:dyDescent="0.25">
      <c r="A210" s="27" t="s">
        <v>46</v>
      </c>
      <c r="B210" s="25">
        <f>'Исходные данные'!$A16</f>
        <v>2016</v>
      </c>
      <c r="C210" s="39">
        <f>IF(AND(Таблица8[[#This Row],[Год]]&gt;=Настройки!$B$4, Таблица8[[#This Row],[Год]]&lt;=Настройки!$B$5),IFERROR(VLOOKUP(Таблица8[[#This Row],[Год]],Данные[#All],9,FALSE),0),0)</f>
        <v>352652.47333929216</v>
      </c>
      <c r="D210" s="19">
        <f>VLOOKUP($A$198,Настройки!$L$2:$N$13,2,FALSE)</f>
        <v>0.6</v>
      </c>
      <c r="E210" s="19">
        <f>VLOOKUP($A$198,Настройки!$L$2:$N$13,3,FALSE)</f>
        <v>0.4</v>
      </c>
      <c r="F210" s="20">
        <f>D210*VLOOKUP(B210,'Исходные данные'!$A$4:$G$24,2,FALSE)+E210*VLOOKUP(B210,'Исходные данные'!$A$4:$G$24,3,FALSE)+(1-D210-E210)*VLOOKUP(B210,'Исходные данные'!$A$4:$G$24,4,FALSE)</f>
        <v>0.25619500183447513</v>
      </c>
      <c r="G210" s="40">
        <f t="shared" si="57"/>
        <v>4815400.4799413672</v>
      </c>
      <c r="H210" s="21">
        <f t="shared" si="52"/>
        <v>1324029.3358464031</v>
      </c>
      <c r="I210" s="21">
        <f t="shared" si="53"/>
        <v>6492082.289127063</v>
      </c>
      <c r="J210" s="23">
        <f t="shared" si="56"/>
        <v>2815344.1955435206</v>
      </c>
      <c r="K210" s="22">
        <f t="shared" si="54"/>
        <v>1.3059639739267206</v>
      </c>
      <c r="L210" s="22">
        <f>IFERROR((1+K210)/VLOOKUP(B210,'Исходные данные'!$A$4:$G$24,6,FALSE)-1,"")</f>
        <v>-0.28641579247416293</v>
      </c>
      <c r="M210" s="20">
        <f t="shared" si="55"/>
        <v>6.6379363759991206E-2</v>
      </c>
    </row>
    <row r="211" spans="1:14" x14ac:dyDescent="0.25">
      <c r="A211" s="27" t="s">
        <v>46</v>
      </c>
      <c r="B211" s="25">
        <f>'Исходные данные'!$A17</f>
        <v>2017</v>
      </c>
      <c r="C211" s="39">
        <f>IF(AND(Таблица8[[#This Row],[Год]]&gt;=Настройки!$B$4, Таблица8[[#This Row],[Год]]&lt;=Настройки!$B$5),IFERROR(VLOOKUP(Таблица8[[#This Row],[Год]],Данные[#All],9,FALSE),0),0)</f>
        <v>371625.17640494613</v>
      </c>
      <c r="D211" s="19">
        <f>VLOOKUP($A$198,Настройки!$L$2:$N$13,2,FALSE)</f>
        <v>0.6</v>
      </c>
      <c r="E211" s="19">
        <f>VLOOKUP($A$198,Настройки!$L$2:$N$13,3,FALSE)</f>
        <v>0.4</v>
      </c>
      <c r="F211" s="20">
        <f>D211*VLOOKUP(B211,'Исходные данные'!$A$4:$G$24,2,FALSE)+E211*VLOOKUP(B211,'Исходные данные'!$A$4:$G$24,3,FALSE)+(1-D211-E211)*VLOOKUP(B211,'Исходные данные'!$A$4:$G$24,4,FALSE)</f>
        <v>4.9838493951309661E-2</v>
      </c>
      <c r="G211" s="40">
        <f t="shared" si="57"/>
        <v>6492082.289127063</v>
      </c>
      <c r="H211" s="21">
        <f t="shared" si="52"/>
        <v>342076.84300447599</v>
      </c>
      <c r="I211" s="21">
        <f t="shared" si="53"/>
        <v>7205784.3085364858</v>
      </c>
      <c r="J211" s="23">
        <f t="shared" si="56"/>
        <v>3186969.3719484666</v>
      </c>
      <c r="K211" s="22">
        <f t="shared" si="54"/>
        <v>1.2610146090393628</v>
      </c>
      <c r="L211" s="22">
        <f>IFERROR((1+K211)/VLOOKUP(B211,'Исходные данные'!$A$4:$G$24,6,FALSE)-1,"")</f>
        <v>-0.31752384383505527</v>
      </c>
      <c r="M211" s="20">
        <f t="shared" si="55"/>
        <v>6.0003705528508089E-2</v>
      </c>
    </row>
    <row r="212" spans="1:14" x14ac:dyDescent="0.25">
      <c r="A212" s="27" t="s">
        <v>46</v>
      </c>
      <c r="B212" s="25">
        <f>'Исходные данные'!$A18</f>
        <v>2018</v>
      </c>
      <c r="C212" s="39">
        <f>IF(AND(Таблица8[[#This Row],[Год]]&gt;=Настройки!$B$4, Таблица8[[#This Row],[Год]]&lt;=Настройки!$B$5),IFERROR(VLOOKUP(Таблица8[[#This Row],[Год]],Данные[#All],9,FALSE),0),0)</f>
        <v>380990.13085035072</v>
      </c>
      <c r="D212" s="19">
        <f>VLOOKUP($A$198,Настройки!$L$2:$N$13,2,FALSE)</f>
        <v>0.6</v>
      </c>
      <c r="E212" s="19">
        <f>VLOOKUP($A$198,Настройки!$L$2:$N$13,3,FALSE)</f>
        <v>0.4</v>
      </c>
      <c r="F212" s="20">
        <f>D212*VLOOKUP(B212,'Исходные данные'!$A$4:$G$24,2,FALSE)+E212*VLOOKUP(B212,'Исходные данные'!$A$4:$G$24,3,FALSE)+(1-D212-E212)*VLOOKUP(B212,'Исходные данные'!$A$4:$G$24,4,FALSE)</f>
        <v>0.12300135345235472</v>
      </c>
      <c r="G212" s="40">
        <f t="shared" si="57"/>
        <v>7205784.3085364858</v>
      </c>
      <c r="H212" s="21">
        <f t="shared" si="52"/>
        <v>933183.52438231057</v>
      </c>
      <c r="I212" s="21">
        <f t="shared" si="53"/>
        <v>8519957.9637691472</v>
      </c>
      <c r="J212" s="23">
        <f t="shared" si="56"/>
        <v>3567959.5027988171</v>
      </c>
      <c r="K212" s="22">
        <f t="shared" si="54"/>
        <v>1.3879076982476484</v>
      </c>
      <c r="L212" s="22">
        <f>IFERROR((1+K212)/VLOOKUP(B212,'Исходные данные'!$A$4:$G$24,6,FALSE)-1,"")</f>
        <v>-0.30873864775524074</v>
      </c>
      <c r="M212" s="20">
        <f t="shared" si="55"/>
        <v>5.9744494521141389E-2</v>
      </c>
    </row>
    <row r="213" spans="1:14" x14ac:dyDescent="0.25">
      <c r="A213" s="27" t="s">
        <v>46</v>
      </c>
      <c r="B213" s="25">
        <f>'Исходные данные'!$A19</f>
        <v>2019</v>
      </c>
      <c r="C213" s="39">
        <f>IF(AND(Таблица8[[#This Row],[Год]]&gt;=Настройки!$B$4, Таблица8[[#This Row],[Год]]&lt;=Настройки!$B$5),IFERROR(VLOOKUP(Таблица8[[#This Row],[Год]],Данные[#All],9,FALSE),0),0)</f>
        <v>397258.40943766065</v>
      </c>
      <c r="D213" s="19">
        <f>VLOOKUP($A$198,Настройки!$L$2:$N$13,2,FALSE)</f>
        <v>0.6</v>
      </c>
      <c r="E213" s="19">
        <f>VLOOKUP($A$198,Настройки!$L$2:$N$13,3,FALSE)</f>
        <v>0.4</v>
      </c>
      <c r="F213" s="20">
        <f>D213*VLOOKUP(B213,'Исходные данные'!$A$4:$G$24,2,FALSE)+E213*VLOOKUP(B213,'Исходные данные'!$A$4:$G$24,3,FALSE)+(1-D213-E213)*VLOOKUP(B213,'Исходные данные'!$A$4:$G$24,4,FALSE)</f>
        <v>0.31067273624032832</v>
      </c>
      <c r="G213" s="40">
        <f t="shared" si="57"/>
        <v>8519957.9637691472</v>
      </c>
      <c r="H213" s="21">
        <f t="shared" si="52"/>
        <v>2770336.0103112157</v>
      </c>
      <c r="I213" s="21">
        <f t="shared" si="53"/>
        <v>11687552.383518023</v>
      </c>
      <c r="J213" s="23">
        <f t="shared" si="56"/>
        <v>3965217.9122364777</v>
      </c>
      <c r="K213" s="22">
        <f t="shared" si="54"/>
        <v>1.9475183059803045</v>
      </c>
      <c r="L213" s="22">
        <f>IFERROR((1+K213)/VLOOKUP(B213,'Исходные данные'!$A$4:$G$24,6,FALSE)-1,"")</f>
        <v>-0.17199443468072828</v>
      </c>
      <c r="M213" s="20">
        <f t="shared" si="55"/>
        <v>6.9894689664274257E-2</v>
      </c>
    </row>
    <row r="214" spans="1:14" x14ac:dyDescent="0.25">
      <c r="A214" s="27" t="s">
        <v>46</v>
      </c>
      <c r="B214" s="25">
        <f>'Исходные данные'!$A20</f>
        <v>2020</v>
      </c>
      <c r="C214" s="39">
        <f>IF(AND(Таблица8[[#This Row],[Год]]&gt;=Настройки!$B$4, Таблица8[[#This Row],[Год]]&lt;=Настройки!$B$5),IFERROR(VLOOKUP(Таблица8[[#This Row],[Год]],Данные[#All],9,FALSE),0),0)</f>
        <v>409374.7909255093</v>
      </c>
      <c r="D214" s="19">
        <f>VLOOKUP($A$198,Настройки!$L$2:$N$13,2,FALSE)</f>
        <v>0.6</v>
      </c>
      <c r="E214" s="19">
        <f>VLOOKUP($A$198,Настройки!$L$2:$N$13,3,FALSE)</f>
        <v>0.4</v>
      </c>
      <c r="F214" s="20">
        <f>D214*VLOOKUP(B214,'Исходные данные'!$A$4:$G$24,2,FALSE)+E214*VLOOKUP(B214,'Исходные данные'!$A$4:$G$24,3,FALSE)+(1-D214-E214)*VLOOKUP(B214,'Исходные данные'!$A$4:$G$24,4,FALSE)</f>
        <v>0.1231107293740108</v>
      </c>
      <c r="G214" s="40">
        <f t="shared" si="57"/>
        <v>11687552.383518023</v>
      </c>
      <c r="H214" s="21">
        <f t="shared" si="52"/>
        <v>1489261.5276300348</v>
      </c>
      <c r="I214" s="21">
        <f t="shared" si="53"/>
        <v>13586188.702073567</v>
      </c>
      <c r="J214" s="23">
        <f t="shared" si="56"/>
        <v>4374592.7031619865</v>
      </c>
      <c r="K214" s="22">
        <f t="shared" si="54"/>
        <v>2.1057036903694768</v>
      </c>
      <c r="L214" s="22">
        <f>IFERROR((1+K214)/VLOOKUP(B214,'Исходные данные'!$A$4:$G$24,6,FALSE)-1,"")</f>
        <v>-0.16838966896859786</v>
      </c>
      <c r="M214" s="20">
        <f t="shared" si="55"/>
        <v>6.8933257266280634E-2</v>
      </c>
    </row>
    <row r="215" spans="1:14" x14ac:dyDescent="0.25">
      <c r="A215" s="27" t="s">
        <v>46</v>
      </c>
      <c r="B215" s="25">
        <f>'Исходные данные'!$A21</f>
        <v>2021</v>
      </c>
      <c r="C215" s="39">
        <f>IF(AND(Таблица8[[#This Row],[Год]]&gt;=Настройки!$B$4, Таблица8[[#This Row],[Год]]&lt;=Настройки!$B$5),IFERROR(VLOOKUP(Таблица8[[#This Row],[Год]],Данные[#All],9,FALSE),0),0)</f>
        <v>429475.09315995179</v>
      </c>
      <c r="D215" s="19">
        <f>VLOOKUP($A$198,Настройки!$L$2:$N$13,2,FALSE)</f>
        <v>0.6</v>
      </c>
      <c r="E215" s="19">
        <f>VLOOKUP($A$198,Настройки!$L$2:$N$13,3,FALSE)</f>
        <v>0.4</v>
      </c>
      <c r="F215" s="20">
        <f>D215*VLOOKUP(B215,'Исходные данные'!$A$4:$G$24,2,FALSE)+E215*VLOOKUP(B215,'Исходные данные'!$A$4:$G$24,3,FALSE)+(1-D215-E215)*VLOOKUP(B215,'Исходные данные'!$A$4:$G$24,4,FALSE)</f>
        <v>0.11059026122802057</v>
      </c>
      <c r="G215" s="40">
        <f t="shared" si="57"/>
        <v>13586188.702073567</v>
      </c>
      <c r="H215" s="21">
        <f t="shared" si="52"/>
        <v>1549995.920398985</v>
      </c>
      <c r="I215" s="21">
        <f t="shared" si="53"/>
        <v>15565659.715632502</v>
      </c>
      <c r="J215" s="23">
        <f t="shared" si="56"/>
        <v>4804067.7963219387</v>
      </c>
      <c r="K215" s="22">
        <f t="shared" si="54"/>
        <v>2.2400999268889974</v>
      </c>
      <c r="L215" s="22">
        <f>IFERROR((1+K215)/VLOOKUP(B215,'Исходные данные'!$A$4:$G$24,6,FALSE)-1,"")</f>
        <v>-0.19955951608173894</v>
      </c>
      <c r="M215" s="20">
        <f t="shared" si="55"/>
        <v>6.7491328423708419E-2</v>
      </c>
    </row>
    <row r="216" spans="1:14" x14ac:dyDescent="0.25">
      <c r="A216" s="27" t="s">
        <v>46</v>
      </c>
      <c r="B216" s="25">
        <f>'Исходные данные'!$A22</f>
        <v>2022</v>
      </c>
      <c r="C216" s="39">
        <f>IF(AND(Таблица8[[#This Row],[Год]]&gt;=Настройки!$B$4, Таблица8[[#This Row],[Год]]&lt;=Настройки!$B$5),IFERROR(VLOOKUP(Таблица8[[#This Row],[Год]],Данные[#All],9,FALSE),0),0)</f>
        <v>465508.0534760718</v>
      </c>
      <c r="D216" s="19">
        <f>VLOOKUP($A$198,Настройки!$L$2:$N$13,2,FALSE)</f>
        <v>0.6</v>
      </c>
      <c r="E216" s="19">
        <f>VLOOKUP($A$198,Настройки!$L$2:$N$13,3,FALSE)</f>
        <v>0.4</v>
      </c>
      <c r="F216" s="20">
        <f>D216*VLOOKUP(B216,'Исходные данные'!$A$4:$G$24,2,FALSE)+E216*VLOOKUP(B216,'Исходные данные'!$A$4:$G$24,3,FALSE)+(1-D216-E216)*VLOOKUP(B216,'Исходные данные'!$A$4:$G$24,4,FALSE)</f>
        <v>-0.20823833508127551</v>
      </c>
      <c r="G216" s="40">
        <f t="shared" si="57"/>
        <v>15565659.715632502</v>
      </c>
      <c r="H216" s="21">
        <f t="shared" si="52"/>
        <v>-3338303.685647775</v>
      </c>
      <c r="I216" s="21">
        <f t="shared" si="53"/>
        <v>12692864.083460798</v>
      </c>
      <c r="J216" s="23">
        <f t="shared" si="56"/>
        <v>5269575.8497980107</v>
      </c>
      <c r="K216" s="22">
        <f t="shared" si="54"/>
        <v>1.4087069709694626</v>
      </c>
      <c r="L216" s="22">
        <f>IFERROR((1+K216)/VLOOKUP(B216,'Исходные данные'!$A$4:$G$24,6,FALSE)-1,"")</f>
        <v>-0.46841917302282443</v>
      </c>
      <c r="M216" s="20">
        <f t="shared" si="55"/>
        <v>4.7354958498970978E-2</v>
      </c>
    </row>
    <row r="217" spans="1:14" x14ac:dyDescent="0.25">
      <c r="A217" s="27" t="s">
        <v>46</v>
      </c>
      <c r="B217" s="25">
        <f>'Исходные данные'!$A23</f>
        <v>2023</v>
      </c>
      <c r="C217" s="39">
        <f>IF(AND(Таблица8[[#This Row],[Год]]&gt;=Настройки!$B$4, Таблица8[[#This Row],[Год]]&lt;=Настройки!$B$5),IFERROR(VLOOKUP(Таблица8[[#This Row],[Год]],Данные[#All],9,FALSE),0),0)</f>
        <v>521089.71506111475</v>
      </c>
      <c r="D217" s="19">
        <f>VLOOKUP($A$198,Настройки!$L$2:$N$13,2,FALSE)</f>
        <v>0.6</v>
      </c>
      <c r="E217" s="19">
        <f>VLOOKUP($A$198,Настройки!$L$2:$N$13,3,FALSE)</f>
        <v>0.4</v>
      </c>
      <c r="F217" s="20">
        <f>D217*VLOOKUP(B217,'Исходные данные'!$A$4:$G$24,2,FALSE)+E217*VLOOKUP(B217,'Исходные данные'!$A$4:$G$24,3,FALSE)+(1-D217-E217)*VLOOKUP(B217,'Исходные данные'!$A$4:$G$24,4,FALSE)</f>
        <v>0.32605096994071558</v>
      </c>
      <c r="G217" s="40">
        <f t="shared" si="57"/>
        <v>12692864.083460798</v>
      </c>
      <c r="H217" s="21">
        <f t="shared" si="52"/>
        <v>4308422.4527598731</v>
      </c>
      <c r="I217" s="21">
        <f t="shared" si="53"/>
        <v>17522376.251281787</v>
      </c>
      <c r="J217" s="23">
        <f t="shared" si="56"/>
        <v>5790665.5648591258</v>
      </c>
      <c r="K217" s="22">
        <f t="shared" si="54"/>
        <v>2.0259693043951619</v>
      </c>
      <c r="L217" s="22">
        <f>IFERROR((1+K217)/VLOOKUP(B217,'Исходные данные'!$A$4:$G$24,6,FALSE)-1,"")</f>
        <v>-0.37832313041649013</v>
      </c>
      <c r="M217" s="20">
        <f t="shared" si="55"/>
        <v>5.692270090729501E-2</v>
      </c>
    </row>
    <row r="218" spans="1:14" x14ac:dyDescent="0.25">
      <c r="A218" s="32" t="s">
        <v>46</v>
      </c>
      <c r="B218" s="33">
        <f>'Исходные данные'!$A24</f>
        <v>2024</v>
      </c>
      <c r="C218" s="39">
        <f>IF(AND(Таблица8[[#This Row],[Год]]&gt;=Настройки!$B$4, Таблица8[[#This Row],[Год]]&lt;=Настройки!$B$5),IFERROR(VLOOKUP(Таблица8[[#This Row],[Год]],Данные[#All],9,FALSE),0),0)</f>
        <v>559754.57191864948</v>
      </c>
      <c r="D218" s="34">
        <f>VLOOKUP($A$198,Настройки!$L$2:$N$13,2,FALSE)</f>
        <v>0.6</v>
      </c>
      <c r="E218" s="34">
        <f>VLOOKUP($A$198,Настройки!$L$2:$N$13,3,FALSE)</f>
        <v>0.4</v>
      </c>
      <c r="F218" s="35">
        <f>D218*VLOOKUP(B218,'Исходные данные'!$A$4:$G$24,2,FALSE)+E218*VLOOKUP(B218,'Исходные данные'!$A$4:$G$24,3,FALSE)+(1-D218-E218)*VLOOKUP(B218,'Исходные данные'!$A$4:$G$24,4,FALSE)</f>
        <v>-2.4801092188626493E-2</v>
      </c>
      <c r="G218" s="41">
        <f t="shared" si="57"/>
        <v>17522376.251281787</v>
      </c>
      <c r="H218" s="36">
        <f t="shared" si="52"/>
        <v>-448456.59351299866</v>
      </c>
      <c r="I218" s="36">
        <f t="shared" si="53"/>
        <v>17633674.229687437</v>
      </c>
      <c r="J218" s="37">
        <f t="shared" si="56"/>
        <v>6350420.1367777754</v>
      </c>
      <c r="K218" s="22">
        <f t="shared" si="54"/>
        <v>1.7767728512266314</v>
      </c>
      <c r="L218" s="22">
        <f>IFERROR((1+K218)/VLOOKUP(B218,'Исходные данные'!$A$4:$G$24,6,FALSE)-1,"")</f>
        <v>-0.47910869224433505</v>
      </c>
      <c r="M218" s="20">
        <f t="shared" si="55"/>
        <v>4.9834811043341753E-2</v>
      </c>
    </row>
    <row r="221" spans="1:14" ht="30" x14ac:dyDescent="0.25">
      <c r="A221" s="28" t="s">
        <v>50</v>
      </c>
      <c r="B221" s="29" t="s">
        <v>10</v>
      </c>
      <c r="C221" s="28" t="s">
        <v>37</v>
      </c>
      <c r="D221" s="30" t="s">
        <v>53</v>
      </c>
      <c r="E221" s="30" t="s">
        <v>54</v>
      </c>
      <c r="F221" s="30" t="s">
        <v>55</v>
      </c>
      <c r="G221" s="30" t="s">
        <v>56</v>
      </c>
      <c r="H221" s="30" t="s">
        <v>57</v>
      </c>
      <c r="I221" s="30" t="s">
        <v>80</v>
      </c>
      <c r="J221" s="30" t="s">
        <v>79</v>
      </c>
      <c r="K221" s="30" t="s">
        <v>38</v>
      </c>
      <c r="L221" s="30" t="s">
        <v>83</v>
      </c>
      <c r="M221" s="31" t="s">
        <v>59</v>
      </c>
    </row>
    <row r="222" spans="1:14" x14ac:dyDescent="0.25">
      <c r="A222" s="27" t="s">
        <v>47</v>
      </c>
      <c r="B222" s="25">
        <f>'Исходные данные'!$A4</f>
        <v>2004</v>
      </c>
      <c r="C222" s="39">
        <f>IF(AND(Таблица7[[#This Row],[Год]]&gt;=Настройки!$B$4, Таблица7[[#This Row],[Год]]&lt;=Настройки!$B$5),IFERROR(VLOOKUP(Таблица7[[#This Row],[Год]],Данные[#All],9,FALSE),0),0)</f>
        <v>115000</v>
      </c>
      <c r="D222" s="19">
        <f>VLOOKUP($A$222,Настройки!$L$2:$N$13,2,FALSE)</f>
        <v>0.7</v>
      </c>
      <c r="E222" s="19">
        <f>VLOOKUP($A$222,Настройки!$L$2:$N$13,3,FALSE)</f>
        <v>0.3</v>
      </c>
      <c r="F222" s="20">
        <f>D222*VLOOKUP(B222,'Исходные данные'!$A$4:$G$24,2,FALSE)+E222*VLOOKUP(B222,'Исходные данные'!$A$4:$G$24,3,FALSE)+(1-D222-E222)*VLOOKUP(B222,'Исходные данные'!$A$4:$G$24,4,FALSE)</f>
        <v>8.3683668681437298E-2</v>
      </c>
      <c r="G222" s="39">
        <f>0</f>
        <v>0</v>
      </c>
      <c r="H222" s="21">
        <f>(G222+C222)*F222</f>
        <v>9623.6218983652889</v>
      </c>
      <c r="I222" s="21">
        <f>G222+C222+H222</f>
        <v>124623.62189836529</v>
      </c>
      <c r="J222" s="21">
        <f>C222</f>
        <v>115000</v>
      </c>
      <c r="K222" s="22">
        <f>IFERROR((I222-J222)/J222,"")</f>
        <v>8.368366868143734E-2</v>
      </c>
      <c r="L222" s="22">
        <f>IFERROR((1+K222)/VLOOKUP(B222,'Исходные данные'!$A$4:$G$24,6,FALSE)-1,"")</f>
        <v>-3.0173913834403709E-2</v>
      </c>
      <c r="M222" s="20">
        <f>IFERROR((I222/J222)^(1/(B222-$B$222+1))-1,"")</f>
        <v>8.3683668681437284E-2</v>
      </c>
      <c r="N222" s="24"/>
    </row>
    <row r="223" spans="1:14" x14ac:dyDescent="0.25">
      <c r="A223" s="27" t="s">
        <v>47</v>
      </c>
      <c r="B223" s="25">
        <f>'Исходные данные'!$A5</f>
        <v>2005</v>
      </c>
      <c r="C223" s="39">
        <f>IF(AND(Таблица7[[#This Row],[Год]]&gt;=Настройки!$B$4, Таблица7[[#This Row],[Год]]&lt;=Настройки!$B$5),IFERROR(VLOOKUP(Таблица7[[#This Row],[Год]],Данные[#All],9,FALSE),0),0)</f>
        <v>128501</v>
      </c>
      <c r="D223" s="19">
        <f>VLOOKUP($A$222,Настройки!$L$2:$N$13,2,FALSE)</f>
        <v>0.7</v>
      </c>
      <c r="E223" s="19">
        <f>VLOOKUP($A$222,Настройки!$L$2:$N$13,3,FALSE)</f>
        <v>0.3</v>
      </c>
      <c r="F223" s="20">
        <f>D223*VLOOKUP(B223,'Исходные данные'!$A$4:$G$24,2,FALSE)+E223*VLOOKUP(B223,'Исходные данные'!$A$4:$G$24,3,FALSE)+(1-D223-E223)*VLOOKUP(B223,'Исходные данные'!$A$4:$G$24,4,FALSE)</f>
        <v>0.62904304973181535</v>
      </c>
      <c r="G223" s="40">
        <f>I222</f>
        <v>124623.62189836529</v>
      </c>
      <c r="H223" s="21">
        <f t="shared" ref="H223:H242" si="58">(G223+C223)*F223</f>
        <v>159226.28412116037</v>
      </c>
      <c r="I223" s="21">
        <f t="shared" ref="I223:I242" si="59">G223+C223+H223</f>
        <v>412350.90601952566</v>
      </c>
      <c r="J223" s="23">
        <f>J222+C223</f>
        <v>243501</v>
      </c>
      <c r="K223" s="22">
        <f t="shared" ref="K223:K242" si="60">IFERROR((I223-J223)/J223,"")</f>
        <v>0.69342592440904005</v>
      </c>
      <c r="L223" s="22">
        <f>IFERROR((1+K223)/VLOOKUP(B223,'Исходные данные'!$A$4:$G$24,6,FALSE)-1,"")</f>
        <v>0.36642824852533473</v>
      </c>
      <c r="M223" s="20">
        <f t="shared" ref="M223:M242" si="61">IFERROR((I223/J223)^(1/(B223-$B$222+1))-1,"")</f>
        <v>0.3013169961270159</v>
      </c>
    </row>
    <row r="224" spans="1:14" x14ac:dyDescent="0.25">
      <c r="A224" s="27" t="s">
        <v>47</v>
      </c>
      <c r="B224" s="25">
        <f>'Исходные данные'!$A6</f>
        <v>2006</v>
      </c>
      <c r="C224" s="39">
        <f>IF(AND(Таблица7[[#This Row],[Год]]&gt;=Настройки!$B$4, Таблица7[[#This Row],[Год]]&lt;=Настройки!$B$5),IFERROR(VLOOKUP(Таблица7[[#This Row],[Год]],Данные[#All],9,FALSE),0),0)</f>
        <v>142520.45910000001</v>
      </c>
      <c r="D224" s="19">
        <f>VLOOKUP($A$222,Настройки!$L$2:$N$13,2,FALSE)</f>
        <v>0.7</v>
      </c>
      <c r="E224" s="19">
        <f>VLOOKUP($A$222,Настройки!$L$2:$N$13,3,FALSE)</f>
        <v>0.3</v>
      </c>
      <c r="F224" s="20">
        <f>D224*VLOOKUP(B224,'Исходные данные'!$A$4:$G$24,2,FALSE)+E224*VLOOKUP(B224,'Исходные данные'!$A$4:$G$24,3,FALSE)+(1-D224-E224)*VLOOKUP(B224,'Исходные данные'!$A$4:$G$24,4,FALSE)</f>
        <v>0.50921346260395206</v>
      </c>
      <c r="G224" s="40">
        <f>I223</f>
        <v>412350.90601952566</v>
      </c>
      <c r="H224" s="21">
        <f t="shared" si="58"/>
        <v>282547.9691322954</v>
      </c>
      <c r="I224" s="21">
        <f t="shared" si="59"/>
        <v>837419.33425182104</v>
      </c>
      <c r="J224" s="23">
        <f t="shared" ref="J224:J242" si="62">J223+C224</f>
        <v>386021.45909999998</v>
      </c>
      <c r="K224" s="22">
        <f t="shared" si="60"/>
        <v>1.169359538208691</v>
      </c>
      <c r="L224" s="22">
        <f>IFERROR((1+K224)/VLOOKUP(B224,'Исходные данные'!$A$4:$G$24,6,FALSE)-1,"")</f>
        <v>0.60592650288171224</v>
      </c>
      <c r="M224" s="20">
        <f t="shared" si="61"/>
        <v>0.29452520833645801</v>
      </c>
    </row>
    <row r="225" spans="1:13" x14ac:dyDescent="0.25">
      <c r="A225" s="27" t="s">
        <v>47</v>
      </c>
      <c r="B225" s="25">
        <f>'Исходные данные'!$A7</f>
        <v>2007</v>
      </c>
      <c r="C225" s="39">
        <f>IF(AND(Таблица7[[#This Row],[Год]]&gt;=Настройки!$B$4, Таблица7[[#This Row],[Год]]&lt;=Настройки!$B$5),IFERROR(VLOOKUP(Таблица7[[#This Row],[Год]],Данные[#All],9,FALSE),0),0)</f>
        <v>155347.30041900001</v>
      </c>
      <c r="D225" s="19">
        <f>VLOOKUP($A$222,Настройки!$L$2:$N$13,2,FALSE)</f>
        <v>0.7</v>
      </c>
      <c r="E225" s="19">
        <f>VLOOKUP($A$222,Настройки!$L$2:$N$13,3,FALSE)</f>
        <v>0.3</v>
      </c>
      <c r="F225" s="20">
        <f>D225*VLOOKUP(B225,'Исходные данные'!$A$4:$G$24,2,FALSE)+E225*VLOOKUP(B225,'Исходные данные'!$A$4:$G$24,3,FALSE)+(1-D225-E225)*VLOOKUP(B225,'Исходные данные'!$A$4:$G$24,4,FALSE)</f>
        <v>0.11076637768769573</v>
      </c>
      <c r="G225" s="40">
        <f t="shared" ref="G225:G242" si="63">I224</f>
        <v>837419.33425182104</v>
      </c>
      <c r="H225" s="21">
        <f t="shared" si="58"/>
        <v>109965.16401169081</v>
      </c>
      <c r="I225" s="21">
        <f t="shared" si="59"/>
        <v>1102731.7986825118</v>
      </c>
      <c r="J225" s="23">
        <f t="shared" si="62"/>
        <v>541368.75951899996</v>
      </c>
      <c r="K225" s="22">
        <f t="shared" si="60"/>
        <v>1.0369328286735211</v>
      </c>
      <c r="L225" s="22">
        <f>IFERROR((1+K225)/VLOOKUP(B225,'Исходные данные'!$A$4:$G$24,6,FALSE)-1,"")</f>
        <v>0.34789852882352723</v>
      </c>
      <c r="M225" s="20">
        <f t="shared" si="61"/>
        <v>0.19465959883298334</v>
      </c>
    </row>
    <row r="226" spans="1:13" x14ac:dyDescent="0.25">
      <c r="A226" s="27" t="s">
        <v>47</v>
      </c>
      <c r="B226" s="25">
        <f>'Исходные данные'!$A8</f>
        <v>2008</v>
      </c>
      <c r="C226" s="39">
        <f>IF(AND(Таблица7[[#This Row],[Год]]&gt;=Настройки!$B$4, Таблица7[[#This Row],[Год]]&lt;=Настройки!$B$5),IFERROR(VLOOKUP(Таблица7[[#This Row],[Год]],Данные[#All],9,FALSE),0),0)</f>
        <v>173787.02497873531</v>
      </c>
      <c r="D226" s="19">
        <f>VLOOKUP($A$222,Настройки!$L$2:$N$13,2,FALSE)</f>
        <v>0.7</v>
      </c>
      <c r="E226" s="19">
        <f>VLOOKUP($A$222,Настройки!$L$2:$N$13,3,FALSE)</f>
        <v>0.3</v>
      </c>
      <c r="F226" s="20">
        <f>D226*VLOOKUP(B226,'Исходные данные'!$A$4:$G$24,2,FALSE)+E226*VLOOKUP(B226,'Исходные данные'!$A$4:$G$24,3,FALSE)+(1-D226-E226)*VLOOKUP(B226,'Исходные данные'!$A$4:$G$24,4,FALSE)</f>
        <v>-0.48292038081795507</v>
      </c>
      <c r="G226" s="40">
        <f t="shared" si="63"/>
        <v>1102731.7986825118</v>
      </c>
      <c r="H226" s="21">
        <f t="shared" si="58"/>
        <v>-616456.95644377742</v>
      </c>
      <c r="I226" s="21">
        <f t="shared" si="59"/>
        <v>660061.86721746961</v>
      </c>
      <c r="J226" s="23">
        <f t="shared" si="62"/>
        <v>715155.78449773532</v>
      </c>
      <c r="K226" s="22">
        <f t="shared" si="60"/>
        <v>-7.7037644768487748E-2</v>
      </c>
      <c r="L226" s="22">
        <f>IFERROR((1+K226)/VLOOKUP(B226,'Исходные данные'!$A$4:$G$24,6,FALSE)-1,"")</f>
        <v>-0.46084797690530188</v>
      </c>
      <c r="M226" s="20">
        <f t="shared" si="61"/>
        <v>-1.5905515895811795E-2</v>
      </c>
    </row>
    <row r="227" spans="1:13" x14ac:dyDescent="0.25">
      <c r="A227" s="27" t="s">
        <v>47</v>
      </c>
      <c r="B227" s="25">
        <f>'Исходные данные'!$A9</f>
        <v>2009</v>
      </c>
      <c r="C227" s="39">
        <f>IF(AND(Таблица7[[#This Row],[Год]]&gt;=Настройки!$B$4, Таблица7[[#This Row],[Год]]&lt;=Настройки!$B$5),IFERROR(VLOOKUP(Таблица7[[#This Row],[Год]],Данные[#All],9,FALSE),0),0)</f>
        <v>196865.94189591135</v>
      </c>
      <c r="D227" s="19">
        <f>VLOOKUP($A$222,Настройки!$L$2:$N$13,2,FALSE)</f>
        <v>0.7</v>
      </c>
      <c r="E227" s="19">
        <f>VLOOKUP($A$222,Настройки!$L$2:$N$13,3,FALSE)</f>
        <v>0.3</v>
      </c>
      <c r="F227" s="20">
        <f>D227*VLOOKUP(B227,'Исходные данные'!$A$4:$G$24,2,FALSE)+E227*VLOOKUP(B227,'Исходные данные'!$A$4:$G$24,3,FALSE)+(1-D227-E227)*VLOOKUP(B227,'Исходные данные'!$A$4:$G$24,4,FALSE)</f>
        <v>0.98874661689470178</v>
      </c>
      <c r="G227" s="40">
        <f t="shared" si="63"/>
        <v>660061.86721746961</v>
      </c>
      <c r="H227" s="21">
        <f t="shared" si="58"/>
        <v>847284.47218384419</v>
      </c>
      <c r="I227" s="21">
        <f t="shared" si="59"/>
        <v>1704212.281297225</v>
      </c>
      <c r="J227" s="23">
        <f t="shared" si="62"/>
        <v>912021.72639364668</v>
      </c>
      <c r="K227" s="22">
        <f t="shared" si="60"/>
        <v>0.86860930170610129</v>
      </c>
      <c r="L227" s="22">
        <f>IFERROR((1+K227)/VLOOKUP(B227,'Исходные данные'!$A$4:$G$24,6,FALSE)-1,"")</f>
        <v>3.2677736604544982E-3</v>
      </c>
      <c r="M227" s="20">
        <f t="shared" si="61"/>
        <v>0.10982137343847187</v>
      </c>
    </row>
    <row r="228" spans="1:13" x14ac:dyDescent="0.25">
      <c r="A228" s="27" t="s">
        <v>47</v>
      </c>
      <c r="B228" s="25">
        <f>'Исходные данные'!$A10</f>
        <v>2010</v>
      </c>
      <c r="C228" s="39">
        <f>IF(AND(Таблица7[[#This Row],[Год]]&gt;=Настройки!$B$4, Таблица7[[#This Row],[Год]]&lt;=Настройки!$B$5),IFERROR(VLOOKUP(Таблица7[[#This Row],[Год]],Данные[#All],9,FALSE),0),0)</f>
        <v>214190.14478275157</v>
      </c>
      <c r="D228" s="19">
        <f>VLOOKUP($A$222,Настройки!$L$2:$N$13,2,FALSE)</f>
        <v>0.7</v>
      </c>
      <c r="E228" s="19">
        <f>VLOOKUP($A$222,Настройки!$L$2:$N$13,3,FALSE)</f>
        <v>0.3</v>
      </c>
      <c r="F228" s="20">
        <f>D228*VLOOKUP(B228,'Исходные данные'!$A$4:$G$24,2,FALSE)+E228*VLOOKUP(B228,'Исходные данные'!$A$4:$G$24,3,FALSE)+(1-D228-E228)*VLOOKUP(B228,'Исходные данные'!$A$4:$G$24,4,FALSE)</f>
        <v>0.21043536918055777</v>
      </c>
      <c r="G228" s="40">
        <f t="shared" si="63"/>
        <v>1704212.281297225</v>
      </c>
      <c r="H228" s="21">
        <f t="shared" si="58"/>
        <v>403699.72276901756</v>
      </c>
      <c r="I228" s="21">
        <f t="shared" si="59"/>
        <v>2322102.1488489942</v>
      </c>
      <c r="J228" s="23">
        <f t="shared" si="62"/>
        <v>1126211.8711763984</v>
      </c>
      <c r="K228" s="22">
        <f t="shared" si="60"/>
        <v>1.0618697141093123</v>
      </c>
      <c r="L228" s="22">
        <f>IFERROR((1+K228)/VLOOKUP(B228,'Исходные данные'!$A$4:$G$24,6,FALSE)-1,"")</f>
        <v>1.7678316064199784E-2</v>
      </c>
      <c r="M228" s="20">
        <f t="shared" si="61"/>
        <v>0.10890530190519487</v>
      </c>
    </row>
    <row r="229" spans="1:13" x14ac:dyDescent="0.25">
      <c r="A229" s="27" t="s">
        <v>47</v>
      </c>
      <c r="B229" s="25">
        <f>'Исходные данные'!$A11</f>
        <v>2011</v>
      </c>
      <c r="C229" s="39">
        <f>IF(AND(Таблица7[[#This Row],[Год]]&gt;=Настройки!$B$4, Таблица7[[#This Row],[Год]]&lt;=Настройки!$B$5),IFERROR(VLOOKUP(Таблица7[[#This Row],[Год]],Данные[#All],9,FALSE),0),0)</f>
        <v>232996.03949467718</v>
      </c>
      <c r="D229" s="19">
        <f>VLOOKUP($A$222,Настройки!$L$2:$N$13,2,FALSE)</f>
        <v>0.7</v>
      </c>
      <c r="E229" s="19">
        <f>VLOOKUP($A$222,Настройки!$L$2:$N$13,3,FALSE)</f>
        <v>0.3</v>
      </c>
      <c r="F229" s="20">
        <f>D229*VLOOKUP(B229,'Исходные данные'!$A$4:$G$24,2,FALSE)+E229*VLOOKUP(B229,'Исходные данные'!$A$4:$G$24,3,FALSE)+(1-D229-E229)*VLOOKUP(B229,'Исходные данные'!$A$4:$G$24,4,FALSE)</f>
        <v>-8.3804322725458402E-2</v>
      </c>
      <c r="G229" s="40">
        <f t="shared" si="63"/>
        <v>2322102.1488489942</v>
      </c>
      <c r="H229" s="21">
        <f t="shared" si="58"/>
        <v>-214128.27317118712</v>
      </c>
      <c r="I229" s="21">
        <f t="shared" si="59"/>
        <v>2340969.9151724842</v>
      </c>
      <c r="J229" s="23">
        <f t="shared" si="62"/>
        <v>1359207.9106710756</v>
      </c>
      <c r="K229" s="22">
        <f t="shared" si="60"/>
        <v>0.72230451043850075</v>
      </c>
      <c r="L229" s="22">
        <f>IFERROR((1+K229)/VLOOKUP(B229,'Исходные данные'!$A$4:$G$24,6,FALSE)-1,"")</f>
        <v>-0.19879462066127007</v>
      </c>
      <c r="M229" s="20">
        <f t="shared" si="61"/>
        <v>7.0320250486529234E-2</v>
      </c>
    </row>
    <row r="230" spans="1:13" x14ac:dyDescent="0.25">
      <c r="A230" s="27" t="s">
        <v>47</v>
      </c>
      <c r="B230" s="25">
        <f>'Исходные данные'!$A12</f>
        <v>2012</v>
      </c>
      <c r="C230" s="39">
        <f>IF(AND(Таблица7[[#This Row],[Год]]&gt;=Настройки!$B$4, Таблица7[[#This Row],[Год]]&lt;=Настройки!$B$5),IFERROR(VLOOKUP(Таблица7[[#This Row],[Год]],Данные[#All],9,FALSE),0),0)</f>
        <v>247208.79790385248</v>
      </c>
      <c r="D230" s="19">
        <f>VLOOKUP($A$222,Настройки!$L$2:$N$13,2,FALSE)</f>
        <v>0.7</v>
      </c>
      <c r="E230" s="19">
        <f>VLOOKUP($A$222,Настройки!$L$2:$N$13,3,FALSE)</f>
        <v>0.3</v>
      </c>
      <c r="F230" s="20">
        <f>D230*VLOOKUP(B230,'Исходные данные'!$A$4:$G$24,2,FALSE)+E230*VLOOKUP(B230,'Исходные данные'!$A$4:$G$24,3,FALSE)+(1-D230-E230)*VLOOKUP(B230,'Исходные данные'!$A$4:$G$24,4,FALSE)</f>
        <v>0.10532089609360415</v>
      </c>
      <c r="G230" s="40">
        <f t="shared" si="63"/>
        <v>2340969.9151724842</v>
      </c>
      <c r="H230" s="21">
        <f t="shared" si="58"/>
        <v>272589.301311591</v>
      </c>
      <c r="I230" s="21">
        <f t="shared" si="59"/>
        <v>2860768.0143879279</v>
      </c>
      <c r="J230" s="23">
        <f t="shared" si="62"/>
        <v>1606416.7085749281</v>
      </c>
      <c r="K230" s="22">
        <f t="shared" si="60"/>
        <v>0.78083805971225873</v>
      </c>
      <c r="L230" s="22">
        <f>IFERROR((1+K230)/VLOOKUP(B230,'Исходные данные'!$A$4:$G$24,6,FALSE)-1,"")</f>
        <v>-0.22271080546867161</v>
      </c>
      <c r="M230" s="20">
        <f t="shared" si="61"/>
        <v>6.6220820116637213E-2</v>
      </c>
    </row>
    <row r="231" spans="1:13" x14ac:dyDescent="0.25">
      <c r="A231" s="27" t="s">
        <v>47</v>
      </c>
      <c r="B231" s="25">
        <f>'Исходные данные'!$A13</f>
        <v>2013</v>
      </c>
      <c r="C231" s="39">
        <f>IF(AND(Таблица7[[#This Row],[Год]]&gt;=Настройки!$B$4, Таблица7[[#This Row],[Год]]&lt;=Настройки!$B$5),IFERROR(VLOOKUP(Таблица7[[#This Row],[Год]],Данные[#All],9,FALSE),0),0)</f>
        <v>263475.13680592598</v>
      </c>
      <c r="D231" s="19">
        <f>VLOOKUP($A$222,Настройки!$L$2:$N$13,2,FALSE)</f>
        <v>0.7</v>
      </c>
      <c r="E231" s="19">
        <f>VLOOKUP($A$222,Настройки!$L$2:$N$13,3,FALSE)</f>
        <v>0.3</v>
      </c>
      <c r="F231" s="20">
        <f>D231*VLOOKUP(B231,'Исходные данные'!$A$4:$G$24,2,FALSE)+E231*VLOOKUP(B231,'Исходные данные'!$A$4:$G$24,3,FALSE)+(1-D231-E231)*VLOOKUP(B231,'Исходные данные'!$A$4:$G$24,4,FALSE)</f>
        <v>5.5611129804916899E-2</v>
      </c>
      <c r="G231" s="40">
        <f t="shared" si="63"/>
        <v>2860768.0143879279</v>
      </c>
      <c r="H231" s="21">
        <f t="shared" si="58"/>
        <v>173742.69142316401</v>
      </c>
      <c r="I231" s="21">
        <f t="shared" si="59"/>
        <v>3297985.8426170181</v>
      </c>
      <c r="J231" s="23">
        <f t="shared" si="62"/>
        <v>1869891.8453808541</v>
      </c>
      <c r="K231" s="22">
        <f t="shared" si="60"/>
        <v>0.76373080120326109</v>
      </c>
      <c r="L231" s="22">
        <f>IFERROR((1+K231)/VLOOKUP(B231,'Исходные данные'!$A$4:$G$24,6,FALSE)-1,"")</f>
        <v>-0.27682261716899559</v>
      </c>
      <c r="M231" s="20">
        <f t="shared" si="61"/>
        <v>5.8383912519024417E-2</v>
      </c>
    </row>
    <row r="232" spans="1:13" x14ac:dyDescent="0.25">
      <c r="A232" s="27" t="s">
        <v>47</v>
      </c>
      <c r="B232" s="25">
        <f>'Исходные данные'!$A14</f>
        <v>2014</v>
      </c>
      <c r="C232" s="39">
        <f>IF(AND(Таблица7[[#This Row],[Год]]&gt;=Настройки!$B$4, Таблица7[[#This Row],[Год]]&lt;=Настройки!$B$5),IFERROR(VLOOKUP(Таблица7[[#This Row],[Год]],Данные[#All],9,FALSE),0),0)</f>
        <v>280469.2831299082</v>
      </c>
      <c r="D232" s="19">
        <f>VLOOKUP($A$222,Настройки!$L$2:$N$13,2,FALSE)</f>
        <v>0.7</v>
      </c>
      <c r="E232" s="19">
        <f>VLOOKUP($A$222,Настройки!$L$2:$N$13,3,FALSE)</f>
        <v>0.3</v>
      </c>
      <c r="F232" s="20">
        <f>D232*VLOOKUP(B232,'Исходные данные'!$A$4:$G$24,2,FALSE)+E232*VLOOKUP(B232,'Исходные данные'!$A$4:$G$24,3,FALSE)+(1-D232-E232)*VLOOKUP(B232,'Исходные данные'!$A$4:$G$24,4,FALSE)</f>
        <v>-5.5975495967631177E-2</v>
      </c>
      <c r="G232" s="40">
        <f t="shared" si="63"/>
        <v>3297985.8426170181</v>
      </c>
      <c r="H232" s="21">
        <f t="shared" si="58"/>
        <v>-200305.8004615962</v>
      </c>
      <c r="I232" s="21">
        <f t="shared" si="59"/>
        <v>3378149.3252853299</v>
      </c>
      <c r="J232" s="23">
        <f t="shared" si="62"/>
        <v>2150361.1285107625</v>
      </c>
      <c r="K232" s="22">
        <f t="shared" si="60"/>
        <v>0.57096837386791632</v>
      </c>
      <c r="L232" s="22">
        <f>IFERROR((1+K232)/VLOOKUP(B232,'Исходные данные'!$A$4:$G$24,6,FALSE)-1,"")</f>
        <v>-0.42157007144769509</v>
      </c>
      <c r="M232" s="20">
        <f t="shared" si="61"/>
        <v>4.1917671158797631E-2</v>
      </c>
    </row>
    <row r="233" spans="1:13" x14ac:dyDescent="0.25">
      <c r="A233" s="27" t="s">
        <v>47</v>
      </c>
      <c r="B233" s="25">
        <f>'Исходные данные'!$A15</f>
        <v>2015</v>
      </c>
      <c r="C233" s="39">
        <f>IF(AND(Таблица7[[#This Row],[Год]]&gt;=Настройки!$B$4, Таблица7[[#This Row],[Год]]&lt;=Настройки!$B$5),IFERROR(VLOOKUP(Таблица7[[#This Row],[Год]],Данные[#All],9,FALSE),0),0)</f>
        <v>312330.59369346575</v>
      </c>
      <c r="D233" s="19">
        <f>VLOOKUP($A$222,Настройки!$L$2:$N$13,2,FALSE)</f>
        <v>0.7</v>
      </c>
      <c r="E233" s="19">
        <f>VLOOKUP($A$222,Настройки!$L$2:$N$13,3,FALSE)</f>
        <v>0.3</v>
      </c>
      <c r="F233" s="20">
        <f>D233*VLOOKUP(B233,'Исходные данные'!$A$4:$G$24,2,FALSE)+E233*VLOOKUP(B233,'Исходные данные'!$A$4:$G$24,3,FALSE)+(1-D233-E233)*VLOOKUP(B233,'Исходные данные'!$A$4:$G$24,4,FALSE)</f>
        <v>0.31459346854984022</v>
      </c>
      <c r="G233" s="40">
        <f t="shared" si="63"/>
        <v>3378149.3252853299</v>
      </c>
      <c r="H233" s="21">
        <f t="shared" si="58"/>
        <v>1161000.8783250726</v>
      </c>
      <c r="I233" s="21">
        <f t="shared" si="59"/>
        <v>4851480.7973038685</v>
      </c>
      <c r="J233" s="23">
        <f t="shared" si="62"/>
        <v>2462691.7222042284</v>
      </c>
      <c r="K233" s="22">
        <f t="shared" si="60"/>
        <v>0.96999110914359921</v>
      </c>
      <c r="L233" s="22">
        <f>IFERROR((1+K233)/VLOOKUP(B233,'Исходные данные'!$A$4:$G$24,6,FALSE)-1,"")</f>
        <v>-0.35758574041377056</v>
      </c>
      <c r="M233" s="20">
        <f t="shared" si="61"/>
        <v>5.8129174553977592E-2</v>
      </c>
    </row>
    <row r="234" spans="1:13" x14ac:dyDescent="0.25">
      <c r="A234" s="27" t="s">
        <v>47</v>
      </c>
      <c r="B234" s="25">
        <f>'Исходные данные'!$A16</f>
        <v>2016</v>
      </c>
      <c r="C234" s="39">
        <f>IF(AND(Таблица7[[#This Row],[Год]]&gt;=Настройки!$B$4, Таблица7[[#This Row],[Год]]&lt;=Настройки!$B$5),IFERROR(VLOOKUP(Таблица7[[#This Row],[Год]],Данные[#All],9,FALSE),0),0)</f>
        <v>352652.47333929216</v>
      </c>
      <c r="D234" s="19">
        <f>VLOOKUP($A$222,Настройки!$L$2:$N$13,2,FALSE)</f>
        <v>0.7</v>
      </c>
      <c r="E234" s="19">
        <f>VLOOKUP($A$222,Настройки!$L$2:$N$13,3,FALSE)</f>
        <v>0.3</v>
      </c>
      <c r="F234" s="20">
        <f>D234*VLOOKUP(B234,'Исходные данные'!$A$4:$G$24,2,FALSE)+E234*VLOOKUP(B234,'Исходные данные'!$A$4:$G$24,3,FALSE)+(1-D234-E234)*VLOOKUP(B234,'Исходные данные'!$A$4:$G$24,4,FALSE)</f>
        <v>0.27409707097888947</v>
      </c>
      <c r="G234" s="40">
        <f t="shared" si="63"/>
        <v>4851480.7973038685</v>
      </c>
      <c r="H234" s="21">
        <f t="shared" si="58"/>
        <v>1426437.6864670785</v>
      </c>
      <c r="I234" s="21">
        <f t="shared" si="59"/>
        <v>6630570.9571102392</v>
      </c>
      <c r="J234" s="23">
        <f t="shared" si="62"/>
        <v>2815344.1955435206</v>
      </c>
      <c r="K234" s="22">
        <f t="shared" si="60"/>
        <v>1.3551546441838043</v>
      </c>
      <c r="L234" s="22">
        <f>IFERROR((1+K234)/VLOOKUP(B234,'Исходные данные'!$A$4:$G$24,6,FALSE)-1,"")</f>
        <v>-0.27119366157794922</v>
      </c>
      <c r="M234" s="20">
        <f t="shared" si="61"/>
        <v>6.8112208712146849E-2</v>
      </c>
    </row>
    <row r="235" spans="1:13" x14ac:dyDescent="0.25">
      <c r="A235" s="27" t="s">
        <v>47</v>
      </c>
      <c r="B235" s="25">
        <f>'Исходные данные'!$A17</f>
        <v>2017</v>
      </c>
      <c r="C235" s="39">
        <f>IF(AND(Таблица7[[#This Row],[Год]]&gt;=Настройки!$B$4, Таблица7[[#This Row],[Год]]&lt;=Настройки!$B$5),IFERROR(VLOOKUP(Таблица7[[#This Row],[Год]],Данные[#All],9,FALSE),0),0)</f>
        <v>371625.17640494613</v>
      </c>
      <c r="D235" s="19">
        <f>VLOOKUP($A$222,Настройки!$L$2:$N$13,2,FALSE)</f>
        <v>0.7</v>
      </c>
      <c r="E235" s="19">
        <f>VLOOKUP($A$222,Настройки!$L$2:$N$13,3,FALSE)</f>
        <v>0.3</v>
      </c>
      <c r="F235" s="20">
        <f>D235*VLOOKUP(B235,'Исходные данные'!$A$4:$G$24,2,FALSE)+E235*VLOOKUP(B235,'Исходные данные'!$A$4:$G$24,3,FALSE)+(1-D235-E235)*VLOOKUP(B235,'Исходные данные'!$A$4:$G$24,4,FALSE)</f>
        <v>3.691382062537675E-2</v>
      </c>
      <c r="G235" s="40">
        <f t="shared" si="63"/>
        <v>6630570.9571102392</v>
      </c>
      <c r="H235" s="21">
        <f t="shared" si="58"/>
        <v>258477.8120562862</v>
      </c>
      <c r="I235" s="21">
        <f t="shared" si="59"/>
        <v>7260673.9455714719</v>
      </c>
      <c r="J235" s="23">
        <f t="shared" si="62"/>
        <v>3186969.3719484666</v>
      </c>
      <c r="K235" s="22">
        <f t="shared" si="60"/>
        <v>1.2782377544884913</v>
      </c>
      <c r="L235" s="22">
        <f>IFERROR((1+K235)/VLOOKUP(B235,'Исходные данные'!$A$4:$G$24,6,FALSE)-1,"")</f>
        <v>-0.31232512196205287</v>
      </c>
      <c r="M235" s="20">
        <f t="shared" si="61"/>
        <v>6.0578426806568775E-2</v>
      </c>
    </row>
    <row r="236" spans="1:13" x14ac:dyDescent="0.25">
      <c r="A236" s="27" t="s">
        <v>47</v>
      </c>
      <c r="B236" s="25">
        <f>'Исходные данные'!$A18</f>
        <v>2018</v>
      </c>
      <c r="C236" s="39">
        <f>IF(AND(Таблица7[[#This Row],[Год]]&gt;=Настройки!$B$4, Таблица7[[#This Row],[Год]]&lt;=Настройки!$B$5),IFERROR(VLOOKUP(Таблица7[[#This Row],[Год]],Данные[#All],9,FALSE),0),0)</f>
        <v>380990.13085035072</v>
      </c>
      <c r="D236" s="19">
        <f>VLOOKUP($A$222,Настройки!$L$2:$N$13,2,FALSE)</f>
        <v>0.7</v>
      </c>
      <c r="E236" s="19">
        <f>VLOOKUP($A$222,Настройки!$L$2:$N$13,3,FALSE)</f>
        <v>0.3</v>
      </c>
      <c r="F236" s="20">
        <f>D236*VLOOKUP(B236,'Исходные данные'!$A$4:$G$24,2,FALSE)+E236*VLOOKUP(B236,'Исходные данные'!$A$4:$G$24,3,FALSE)+(1-D236-E236)*VLOOKUP(B236,'Исходные данные'!$A$4:$G$24,4,FALSE)</f>
        <v>0.13996452571470724</v>
      </c>
      <c r="G236" s="40">
        <f t="shared" si="63"/>
        <v>7260673.9455714719</v>
      </c>
      <c r="H236" s="21">
        <f t="shared" si="58"/>
        <v>1069561.8881274967</v>
      </c>
      <c r="I236" s="21">
        <f t="shared" si="59"/>
        <v>8711225.9645493198</v>
      </c>
      <c r="J236" s="23">
        <f t="shared" si="62"/>
        <v>3567959.5027988171</v>
      </c>
      <c r="K236" s="22">
        <f t="shared" si="60"/>
        <v>1.4415148091551955</v>
      </c>
      <c r="L236" s="22">
        <f>IFERROR((1+K236)/VLOOKUP(B236,'Исходные данные'!$A$4:$G$24,6,FALSE)-1,"")</f>
        <v>-0.29322024057263507</v>
      </c>
      <c r="M236" s="20">
        <f t="shared" si="61"/>
        <v>6.1314157363343558E-2</v>
      </c>
    </row>
    <row r="237" spans="1:13" x14ac:dyDescent="0.25">
      <c r="A237" s="27" t="s">
        <v>47</v>
      </c>
      <c r="B237" s="25">
        <f>'Исходные данные'!$A19</f>
        <v>2019</v>
      </c>
      <c r="C237" s="39">
        <f>IF(AND(Таблица7[[#This Row],[Год]]&gt;=Настройки!$B$4, Таблица7[[#This Row],[Год]]&lt;=Настройки!$B$5),IFERROR(VLOOKUP(Таблица7[[#This Row],[Год]],Данные[#All],9,FALSE),0),0)</f>
        <v>397258.40943766065</v>
      </c>
      <c r="D237" s="19">
        <f>VLOOKUP($A$222,Настройки!$L$2:$N$13,2,FALSE)</f>
        <v>0.7</v>
      </c>
      <c r="E237" s="19">
        <f>VLOOKUP($A$222,Настройки!$L$2:$N$13,3,FALSE)</f>
        <v>0.3</v>
      </c>
      <c r="F237" s="20">
        <f>D237*VLOOKUP(B237,'Исходные данные'!$A$4:$G$24,2,FALSE)+E237*VLOOKUP(B237,'Исходные данные'!$A$4:$G$24,3,FALSE)+(1-D237-E237)*VLOOKUP(B237,'Исходные данные'!$A$4:$G$24,4,FALSE)</f>
        <v>0.32913148671001702</v>
      </c>
      <c r="G237" s="40">
        <f t="shared" si="63"/>
        <v>8711225.9645493198</v>
      </c>
      <c r="H237" s="21">
        <f t="shared" si="58"/>
        <v>2997889.0036852933</v>
      </c>
      <c r="I237" s="21">
        <f t="shared" si="59"/>
        <v>12106373.377672274</v>
      </c>
      <c r="J237" s="23">
        <f t="shared" si="62"/>
        <v>3965217.9122364777</v>
      </c>
      <c r="K237" s="22">
        <f t="shared" si="60"/>
        <v>2.0531420077349516</v>
      </c>
      <c r="L237" s="22">
        <f>IFERROR((1+K237)/VLOOKUP(B237,'Исходные данные'!$A$4:$G$24,6,FALSE)-1,"")</f>
        <v>-0.14232302849979761</v>
      </c>
      <c r="M237" s="20">
        <f t="shared" si="61"/>
        <v>7.2251562550506465E-2</v>
      </c>
    </row>
    <row r="238" spans="1:13" x14ac:dyDescent="0.25">
      <c r="A238" s="27" t="s">
        <v>47</v>
      </c>
      <c r="B238" s="25">
        <f>'Исходные данные'!$A20</f>
        <v>2020</v>
      </c>
      <c r="C238" s="39">
        <f>IF(AND(Таблица7[[#This Row],[Год]]&gt;=Настройки!$B$4, Таблица7[[#This Row],[Год]]&lt;=Настройки!$B$5),IFERROR(VLOOKUP(Таблица7[[#This Row],[Год]],Данные[#All],9,FALSE),0),0)</f>
        <v>409374.7909255093</v>
      </c>
      <c r="D238" s="19">
        <f>VLOOKUP($A$222,Настройки!$L$2:$N$13,2,FALSE)</f>
        <v>0.7</v>
      </c>
      <c r="E238" s="19">
        <f>VLOOKUP($A$222,Настройки!$L$2:$N$13,3,FALSE)</f>
        <v>0.3</v>
      </c>
      <c r="F238" s="20">
        <f>D238*VLOOKUP(B238,'Исходные данные'!$A$4:$G$24,2,FALSE)+E238*VLOOKUP(B238,'Исходные данные'!$A$4:$G$24,3,FALSE)+(1-D238-E238)*VLOOKUP(B238,'Исходные данные'!$A$4:$G$24,4,FALSE)</f>
        <v>0.12939503514058059</v>
      </c>
      <c r="G238" s="40">
        <f t="shared" si="63"/>
        <v>12106373.377672274</v>
      </c>
      <c r="H238" s="21">
        <f t="shared" si="58"/>
        <v>1619475.6740863675</v>
      </c>
      <c r="I238" s="21">
        <f t="shared" si="59"/>
        <v>14135223.842684152</v>
      </c>
      <c r="J238" s="23">
        <f t="shared" si="62"/>
        <v>4374592.7031619865</v>
      </c>
      <c r="K238" s="22">
        <f t="shared" si="60"/>
        <v>2.231209120901041</v>
      </c>
      <c r="L238" s="22">
        <f>IFERROR((1+K238)/VLOOKUP(B238,'Исходные данные'!$A$4:$G$24,6,FALSE)-1,"")</f>
        <v>-0.134783239303643</v>
      </c>
      <c r="M238" s="20">
        <f t="shared" si="61"/>
        <v>7.142715920752174E-2</v>
      </c>
    </row>
    <row r="239" spans="1:13" x14ac:dyDescent="0.25">
      <c r="A239" s="27" t="s">
        <v>47</v>
      </c>
      <c r="B239" s="25">
        <f>'Исходные данные'!$A21</f>
        <v>2021</v>
      </c>
      <c r="C239" s="39">
        <f>IF(AND(Таблица7[[#This Row],[Год]]&gt;=Настройки!$B$4, Таблица7[[#This Row],[Год]]&lt;=Настройки!$B$5),IFERROR(VLOOKUP(Таблица7[[#This Row],[Год]],Данные[#All],9,FALSE),0),0)</f>
        <v>429475.09315995179</v>
      </c>
      <c r="D239" s="19">
        <f>VLOOKUP($A$222,Настройки!$L$2:$N$13,2,FALSE)</f>
        <v>0.7</v>
      </c>
      <c r="E239" s="19">
        <f>VLOOKUP($A$222,Настройки!$L$2:$N$13,3,FALSE)</f>
        <v>0.3</v>
      </c>
      <c r="F239" s="20">
        <f>D239*VLOOKUP(B239,'Исходные данные'!$A$4:$G$24,2,FALSE)+E239*VLOOKUP(B239,'Исходные данные'!$A$4:$G$24,3,FALSE)+(1-D239-E239)*VLOOKUP(B239,'Исходные данные'!$A$4:$G$24,4,FALSE)</f>
        <v>0.1374244749919353</v>
      </c>
      <c r="G239" s="40">
        <f t="shared" si="63"/>
        <v>14135223.842684152</v>
      </c>
      <c r="H239" s="21">
        <f t="shared" si="58"/>
        <v>2001546.1046739747</v>
      </c>
      <c r="I239" s="21">
        <f t="shared" si="59"/>
        <v>16566245.040518077</v>
      </c>
      <c r="J239" s="23">
        <f t="shared" si="62"/>
        <v>4804067.7963219387</v>
      </c>
      <c r="K239" s="22">
        <f t="shared" si="60"/>
        <v>2.4483786954883162</v>
      </c>
      <c r="L239" s="22">
        <f>IFERROR((1+K239)/VLOOKUP(B239,'Исходные данные'!$A$4:$G$24,6,FALSE)-1,"")</f>
        <v>-0.14810593067099187</v>
      </c>
      <c r="M239" s="20">
        <f t="shared" si="61"/>
        <v>7.1192436172915485E-2</v>
      </c>
    </row>
    <row r="240" spans="1:13" x14ac:dyDescent="0.25">
      <c r="A240" s="27" t="s">
        <v>47</v>
      </c>
      <c r="B240" s="25">
        <f>'Исходные данные'!$A22</f>
        <v>2022</v>
      </c>
      <c r="C240" s="39">
        <f>IF(AND(Таблица7[[#This Row],[Год]]&gt;=Настройки!$B$4, Таблица7[[#This Row],[Год]]&lt;=Настройки!$B$5),IFERROR(VLOOKUP(Таблица7[[#This Row],[Год]],Данные[#All],9,FALSE),0),0)</f>
        <v>465508.0534760718</v>
      </c>
      <c r="D240" s="19">
        <f>VLOOKUP($A$222,Настройки!$L$2:$N$13,2,FALSE)</f>
        <v>0.7</v>
      </c>
      <c r="E240" s="19">
        <f>VLOOKUP($A$222,Настройки!$L$2:$N$13,3,FALSE)</f>
        <v>0.3</v>
      </c>
      <c r="F240" s="20">
        <f>D240*VLOOKUP(B240,'Исходные данные'!$A$4:$G$24,2,FALSE)+E240*VLOOKUP(B240,'Исходные данные'!$A$4:$G$24,3,FALSE)+(1-D240-E240)*VLOOKUP(B240,'Исходные данные'!$A$4:$G$24,4,FALSE)</f>
        <v>-0.24932375464886924</v>
      </c>
      <c r="G240" s="40">
        <f t="shared" si="63"/>
        <v>16566245.040518077</v>
      </c>
      <c r="H240" s="21">
        <f t="shared" si="58"/>
        <v>-4246420.6296471162</v>
      </c>
      <c r="I240" s="21">
        <f t="shared" si="59"/>
        <v>12785332.464347031</v>
      </c>
      <c r="J240" s="23">
        <f t="shared" si="62"/>
        <v>5269575.8497980107</v>
      </c>
      <c r="K240" s="22">
        <f t="shared" si="60"/>
        <v>1.4262545655998307</v>
      </c>
      <c r="L240" s="22">
        <f>IFERROR((1+K240)/VLOOKUP(B240,'Исходные данные'!$A$4:$G$24,6,FALSE)-1,"")</f>
        <v>-0.46454657042836389</v>
      </c>
      <c r="M240" s="20">
        <f t="shared" si="61"/>
        <v>4.7755160932150487E-2</v>
      </c>
    </row>
    <row r="241" spans="1:14" x14ac:dyDescent="0.25">
      <c r="A241" s="27" t="s">
        <v>47</v>
      </c>
      <c r="B241" s="25">
        <f>'Исходные данные'!$A23</f>
        <v>2023</v>
      </c>
      <c r="C241" s="39">
        <f>IF(AND(Таблица7[[#This Row],[Год]]&gt;=Настройки!$B$4, Таблица7[[#This Row],[Год]]&lt;=Настройки!$B$5),IFERROR(VLOOKUP(Таблица7[[#This Row],[Год]],Данные[#All],9,FALSE),0),0)</f>
        <v>521089.71506111475</v>
      </c>
      <c r="D241" s="19">
        <f>VLOOKUP($A$222,Настройки!$L$2:$N$13,2,FALSE)</f>
        <v>0.7</v>
      </c>
      <c r="E241" s="19">
        <f>VLOOKUP($A$222,Настройки!$L$2:$N$13,3,FALSE)</f>
        <v>0.3</v>
      </c>
      <c r="F241" s="20">
        <f>D241*VLOOKUP(B241,'Исходные данные'!$A$4:$G$24,2,FALSE)+E241*VLOOKUP(B241,'Исходные данные'!$A$4:$G$24,3,FALSE)+(1-D241-E241)*VLOOKUP(B241,'Исходные данные'!$A$4:$G$24,4,FALSE)</f>
        <v>0.37912587875851206</v>
      </c>
      <c r="G241" s="40">
        <f t="shared" si="63"/>
        <v>12785332.464347031</v>
      </c>
      <c r="H241" s="21">
        <f t="shared" si="58"/>
        <v>5044809.0018998682</v>
      </c>
      <c r="I241" s="21">
        <f t="shared" si="59"/>
        <v>18351231.181308016</v>
      </c>
      <c r="J241" s="23">
        <f t="shared" si="62"/>
        <v>5790665.5648591258</v>
      </c>
      <c r="K241" s="22">
        <f t="shared" si="60"/>
        <v>2.1691056884157085</v>
      </c>
      <c r="L241" s="22">
        <f>IFERROR((1+K241)/VLOOKUP(B241,'Исходные данные'!$A$4:$G$24,6,FALSE)-1,"")</f>
        <v>-0.34891616352751742</v>
      </c>
      <c r="M241" s="20">
        <f t="shared" si="61"/>
        <v>5.9367965727486149E-2</v>
      </c>
    </row>
    <row r="242" spans="1:14" x14ac:dyDescent="0.25">
      <c r="A242" s="32" t="s">
        <v>47</v>
      </c>
      <c r="B242" s="33">
        <f>'Исходные данные'!$A24</f>
        <v>2024</v>
      </c>
      <c r="C242" s="39">
        <f>IF(AND(Таблица7[[#This Row],[Год]]&gt;=Настройки!$B$4, Таблица7[[#This Row],[Год]]&lt;=Настройки!$B$5),IFERROR(VLOOKUP(Таблица7[[#This Row],[Год]],Данные[#All],9,FALSE),0),0)</f>
        <v>559754.57191864948</v>
      </c>
      <c r="D242" s="34">
        <f>VLOOKUP($A$222,Настройки!$L$2:$N$13,2,FALSE)</f>
        <v>0.7</v>
      </c>
      <c r="E242" s="34">
        <f>VLOOKUP($A$222,Настройки!$L$2:$N$13,3,FALSE)</f>
        <v>0.3</v>
      </c>
      <c r="F242" s="35">
        <f>D242*VLOOKUP(B242,'Исходные данные'!$A$4:$G$24,2,FALSE)+E242*VLOOKUP(B242,'Исходные данные'!$A$4:$G$24,3,FALSE)+(1-D242-E242)*VLOOKUP(B242,'Исходные данные'!$A$4:$G$24,4,FALSE)</f>
        <v>-1.4508748626670656E-2</v>
      </c>
      <c r="G242" s="41">
        <f t="shared" si="63"/>
        <v>18351231.181308016</v>
      </c>
      <c r="H242" s="36">
        <f t="shared" si="58"/>
        <v>-274374.73857611569</v>
      </c>
      <c r="I242" s="36">
        <f t="shared" si="59"/>
        <v>18636611.01465055</v>
      </c>
      <c r="J242" s="37">
        <f t="shared" si="62"/>
        <v>6350420.1367777754</v>
      </c>
      <c r="K242" s="22">
        <f t="shared" si="60"/>
        <v>1.9347052026870821</v>
      </c>
      <c r="L242" s="22">
        <f>IFERROR((1+K242)/VLOOKUP(B242,'Исходные данные'!$A$4:$G$24,6,FALSE)-1,"")</f>
        <v>-0.44948236214937576</v>
      </c>
      <c r="M242" s="20">
        <f t="shared" si="61"/>
        <v>5.2603901320383839E-2</v>
      </c>
    </row>
    <row r="245" spans="1:14" ht="30" x14ac:dyDescent="0.25">
      <c r="A245" s="28" t="s">
        <v>50</v>
      </c>
      <c r="B245" s="29" t="s">
        <v>10</v>
      </c>
      <c r="C245" s="28" t="s">
        <v>37</v>
      </c>
      <c r="D245" s="30" t="s">
        <v>53</v>
      </c>
      <c r="E245" s="30" t="s">
        <v>54</v>
      </c>
      <c r="F245" s="30" t="s">
        <v>55</v>
      </c>
      <c r="G245" s="30" t="s">
        <v>56</v>
      </c>
      <c r="H245" s="30" t="s">
        <v>57</v>
      </c>
      <c r="I245" s="30" t="s">
        <v>80</v>
      </c>
      <c r="J245" s="30" t="s">
        <v>79</v>
      </c>
      <c r="K245" s="30" t="s">
        <v>38</v>
      </c>
      <c r="L245" s="30" t="s">
        <v>83</v>
      </c>
      <c r="M245" s="31" t="s">
        <v>59</v>
      </c>
    </row>
    <row r="246" spans="1:14" x14ac:dyDescent="0.25">
      <c r="A246" s="27" t="s">
        <v>48</v>
      </c>
      <c r="B246" s="25">
        <f>'Исходные данные'!$A4</f>
        <v>2004</v>
      </c>
      <c r="C246" s="39">
        <f>IF(AND(Таблица6[[#This Row],[Год]]&gt;=Настройки!$B$4, Таблица6[[#This Row],[Год]]&lt;=Настройки!$B$5),IFERROR(VLOOKUP(Таблица6[[#This Row],[Год]],Данные[#All],9,FALSE),0),0)</f>
        <v>115000</v>
      </c>
      <c r="D246" s="19">
        <f>VLOOKUP($A$246,Настройки!$L$2:$N$13,2,FALSE)</f>
        <v>0.8</v>
      </c>
      <c r="E246" s="19">
        <f>VLOOKUP($A$246,Настройки!$L$2:$N$13,3,FALSE)</f>
        <v>0.2</v>
      </c>
      <c r="F246" s="20">
        <f>D246*VLOOKUP(B246,'Исходные данные'!$A$4:$G$24,2,FALSE)+E246*VLOOKUP(B246,'Исходные данные'!$A$4:$G$24,3,FALSE)+(1-D246-E246)*VLOOKUP(B246,'Исходные данные'!$A$4:$G$24,4,FALSE)</f>
        <v>8.0081108594512881E-2</v>
      </c>
      <c r="G246" s="39">
        <f>0</f>
        <v>0</v>
      </c>
      <c r="H246" s="21">
        <f>(G246+C246)*F246</f>
        <v>9209.327488368981</v>
      </c>
      <c r="I246" s="21">
        <f>G246+C246+H246</f>
        <v>124209.32748836899</v>
      </c>
      <c r="J246" s="21">
        <f>C246</f>
        <v>115000</v>
      </c>
      <c r="K246" s="22">
        <f>IFERROR((I246-J246)/J246,"")</f>
        <v>8.0081108594512937E-2</v>
      </c>
      <c r="L246" s="22">
        <f>IFERROR((1+K246)/VLOOKUP(B246,'Исходные данные'!$A$4:$G$24,6,FALSE)-1,"")</f>
        <v>-3.3397969756118639E-2</v>
      </c>
      <c r="M246" s="20">
        <f>IFERROR((I246/J246)^(1/(B246-$B$246+1))-1,"")</f>
        <v>8.0081108594513006E-2</v>
      </c>
      <c r="N246" s="24"/>
    </row>
    <row r="247" spans="1:14" x14ac:dyDescent="0.25">
      <c r="A247" s="27" t="s">
        <v>48</v>
      </c>
      <c r="B247" s="25">
        <f>'Исходные данные'!$A5</f>
        <v>2005</v>
      </c>
      <c r="C247" s="39">
        <f>IF(AND(Таблица6[[#This Row],[Год]]&gt;=Настройки!$B$4, Таблица6[[#This Row],[Год]]&lt;=Настройки!$B$5),IFERROR(VLOOKUP(Таблица6[[#This Row],[Год]],Данные[#All],9,FALSE),0),0)</f>
        <v>128501</v>
      </c>
      <c r="D247" s="19">
        <f>VLOOKUP($A$246,Настройки!$L$2:$N$13,2,FALSE)</f>
        <v>0.8</v>
      </c>
      <c r="E247" s="19">
        <f>VLOOKUP($A$246,Настройки!$L$2:$N$13,3,FALSE)</f>
        <v>0.2</v>
      </c>
      <c r="F247" s="20">
        <f>D247*VLOOKUP(B247,'Исходные данные'!$A$4:$G$24,2,FALSE)+E247*VLOOKUP(B247,'Исходные данные'!$A$4:$G$24,3,FALSE)+(1-D247-E247)*VLOOKUP(B247,'Исходные данные'!$A$4:$G$24,4,FALSE)</f>
        <v>0.702274640448738</v>
      </c>
      <c r="G247" s="40">
        <f>I246</f>
        <v>124209.32748836899</v>
      </c>
      <c r="H247" s="21">
        <f t="shared" ref="H247:H266" si="64">(G247+C247)*F247</f>
        <v>177472.05437457716</v>
      </c>
      <c r="I247" s="21">
        <f t="shared" ref="I247:I266" si="65">G247+C247+H247</f>
        <v>430182.38186294615</v>
      </c>
      <c r="J247" s="23">
        <f>J246+C247</f>
        <v>243501</v>
      </c>
      <c r="K247" s="22">
        <f t="shared" ref="K247:K266" si="66">IFERROR((I247-J247)/J247,"")</f>
        <v>0.76665550393200088</v>
      </c>
      <c r="L247" s="22">
        <f>IFERROR((1+K247)/VLOOKUP(B247,'Исходные данные'!$A$4:$G$24,6,FALSE)-1,"")</f>
        <v>0.4255173203562892</v>
      </c>
      <c r="M247" s="20">
        <f t="shared" ref="M247:M266" si="67">IFERROR((I247/J247)^(1/(B247-$B$246+1))-1,"")</f>
        <v>0.32915593665002341</v>
      </c>
    </row>
    <row r="248" spans="1:14" x14ac:dyDescent="0.25">
      <c r="A248" s="27" t="s">
        <v>48</v>
      </c>
      <c r="B248" s="25">
        <f>'Исходные данные'!$A6</f>
        <v>2006</v>
      </c>
      <c r="C248" s="39">
        <f>IF(AND(Таблица6[[#This Row],[Год]]&gt;=Настройки!$B$4, Таблица6[[#This Row],[Год]]&lt;=Настройки!$B$5),IFERROR(VLOOKUP(Таблица6[[#This Row],[Год]],Данные[#All],9,FALSE),0),0)</f>
        <v>142520.45910000001</v>
      </c>
      <c r="D248" s="19">
        <f>VLOOKUP($A$246,Настройки!$L$2:$N$13,2,FALSE)</f>
        <v>0.8</v>
      </c>
      <c r="E248" s="19">
        <f>VLOOKUP($A$246,Настройки!$L$2:$N$13,3,FALSE)</f>
        <v>0.2</v>
      </c>
      <c r="F248" s="20">
        <f>D248*VLOOKUP(B248,'Исходные данные'!$A$4:$G$24,2,FALSE)+E248*VLOOKUP(B248,'Исходные данные'!$A$4:$G$24,3,FALSE)+(1-D248-E248)*VLOOKUP(B248,'Исходные данные'!$A$4:$G$24,4,FALSE)</f>
        <v>0.57214714722290294</v>
      </c>
      <c r="G248" s="40">
        <f>I247</f>
        <v>430182.38186294615</v>
      </c>
      <c r="H248" s="21">
        <f t="shared" si="64"/>
        <v>327670.29666340153</v>
      </c>
      <c r="I248" s="21">
        <f t="shared" si="65"/>
        <v>900373.13762634771</v>
      </c>
      <c r="J248" s="23">
        <f t="shared" ref="J248:J266" si="68">J247+C248</f>
        <v>386021.45909999998</v>
      </c>
      <c r="K248" s="22">
        <f t="shared" si="66"/>
        <v>1.3324432266681407</v>
      </c>
      <c r="L248" s="22">
        <f>IFERROR((1+K248)/VLOOKUP(B248,'Исходные данные'!$A$4:$G$24,6,FALSE)-1,"")</f>
        <v>0.7266535713422011</v>
      </c>
      <c r="M248" s="20">
        <f t="shared" si="67"/>
        <v>0.32618372473669832</v>
      </c>
    </row>
    <row r="249" spans="1:14" x14ac:dyDescent="0.25">
      <c r="A249" s="27" t="s">
        <v>48</v>
      </c>
      <c r="B249" s="25">
        <f>'Исходные данные'!$A7</f>
        <v>2007</v>
      </c>
      <c r="C249" s="39">
        <f>IF(AND(Таблица6[[#This Row],[Год]]&gt;=Настройки!$B$4, Таблица6[[#This Row],[Год]]&lt;=Настройки!$B$5),IFERROR(VLOOKUP(Таблица6[[#This Row],[Год]],Данные[#All],9,FALSE),0),0)</f>
        <v>155347.30041900001</v>
      </c>
      <c r="D249" s="19">
        <f>VLOOKUP($A$246,Настройки!$L$2:$N$13,2,FALSE)</f>
        <v>0.8</v>
      </c>
      <c r="E249" s="19">
        <f>VLOOKUP($A$246,Настройки!$L$2:$N$13,3,FALSE)</f>
        <v>0.2</v>
      </c>
      <c r="F249" s="20">
        <f>D249*VLOOKUP(B249,'Исходные данные'!$A$4:$G$24,2,FALSE)+E249*VLOOKUP(B249,'Исходные данные'!$A$4:$G$24,3,FALSE)+(1-D249-E249)*VLOOKUP(B249,'Исходные данные'!$A$4:$G$24,4,FALSE)</f>
        <v>0.11601471035779773</v>
      </c>
      <c r="G249" s="40">
        <f t="shared" ref="G249:G266" si="69">I248</f>
        <v>900373.13762634771</v>
      </c>
      <c r="H249" s="21">
        <f t="shared" si="64"/>
        <v>122479.10083863836</v>
      </c>
      <c r="I249" s="21">
        <f t="shared" si="65"/>
        <v>1178199.5388839862</v>
      </c>
      <c r="J249" s="23">
        <f t="shared" si="68"/>
        <v>541368.75951899996</v>
      </c>
      <c r="K249" s="22">
        <f t="shared" si="66"/>
        <v>1.1763345560072642</v>
      </c>
      <c r="L249" s="22">
        <f>IFERROR((1+K249)/VLOOKUP(B249,'Исходные данные'!$A$4:$G$24,6,FALSE)-1,"")</f>
        <v>0.44014476323223528</v>
      </c>
      <c r="M249" s="20">
        <f t="shared" si="67"/>
        <v>0.21459479162885642</v>
      </c>
    </row>
    <row r="250" spans="1:14" x14ac:dyDescent="0.25">
      <c r="A250" s="27" t="s">
        <v>48</v>
      </c>
      <c r="B250" s="25">
        <f>'Исходные данные'!$A8</f>
        <v>2008</v>
      </c>
      <c r="C250" s="39">
        <f>IF(AND(Таблица6[[#This Row],[Год]]&gt;=Настройки!$B$4, Таблица6[[#This Row],[Год]]&lt;=Настройки!$B$5),IFERROR(VLOOKUP(Таблица6[[#This Row],[Год]],Данные[#All],9,FALSE),0),0)</f>
        <v>173787.02497873531</v>
      </c>
      <c r="D250" s="19">
        <f>VLOOKUP($A$246,Настройки!$L$2:$N$13,2,FALSE)</f>
        <v>0.8</v>
      </c>
      <c r="E250" s="19">
        <f>VLOOKUP($A$246,Настройки!$L$2:$N$13,3,FALSE)</f>
        <v>0.2</v>
      </c>
      <c r="F250" s="20">
        <f>D250*VLOOKUP(B250,'Исходные данные'!$A$4:$G$24,2,FALSE)+E250*VLOOKUP(B250,'Исходные данные'!$A$4:$G$24,3,FALSE)+(1-D250-E250)*VLOOKUP(B250,'Исходные данные'!$A$4:$G$24,4,FALSE)</f>
        <v>-0.54397512235157086</v>
      </c>
      <c r="G250" s="40">
        <f t="shared" si="69"/>
        <v>1178199.5388839862</v>
      </c>
      <c r="H250" s="21">
        <f t="shared" si="64"/>
        <v>-735447.05649490375</v>
      </c>
      <c r="I250" s="21">
        <f t="shared" si="65"/>
        <v>616539.50736781769</v>
      </c>
      <c r="J250" s="23">
        <f t="shared" si="68"/>
        <v>715155.78449773532</v>
      </c>
      <c r="K250" s="22">
        <f t="shared" si="66"/>
        <v>-0.13789481853828162</v>
      </c>
      <c r="L250" s="22">
        <f>IFERROR((1+K250)/VLOOKUP(B250,'Исходные данные'!$A$4:$G$24,6,FALSE)-1,"")</f>
        <v>-0.49639792991457676</v>
      </c>
      <c r="M250" s="20">
        <f t="shared" si="67"/>
        <v>-2.9239601979599184E-2</v>
      </c>
    </row>
    <row r="251" spans="1:14" x14ac:dyDescent="0.25">
      <c r="A251" s="27" t="s">
        <v>48</v>
      </c>
      <c r="B251" s="25">
        <f>'Исходные данные'!$A9</f>
        <v>2009</v>
      </c>
      <c r="C251" s="39">
        <f>IF(AND(Таблица6[[#This Row],[Год]]&gt;=Настройки!$B$4, Таблица6[[#This Row],[Год]]&lt;=Настройки!$B$5),IFERROR(VLOOKUP(Таблица6[[#This Row],[Год]],Данные[#All],9,FALSE),0),0)</f>
        <v>196865.94189591135</v>
      </c>
      <c r="D251" s="19">
        <f>VLOOKUP($A$246,Настройки!$L$2:$N$13,2,FALSE)</f>
        <v>0.8</v>
      </c>
      <c r="E251" s="19">
        <f>VLOOKUP($A$246,Настройки!$L$2:$N$13,3,FALSE)</f>
        <v>0.2</v>
      </c>
      <c r="F251" s="20">
        <f>D251*VLOOKUP(B251,'Исходные данные'!$A$4:$G$24,2,FALSE)+E251*VLOOKUP(B251,'Исходные данные'!$A$4:$G$24,3,FALSE)+(1-D251-E251)*VLOOKUP(B251,'Исходные данные'!$A$4:$G$24,4,FALSE)</f>
        <v>1.0795269434677721</v>
      </c>
      <c r="G251" s="40">
        <f t="shared" si="69"/>
        <v>616539.50736781769</v>
      </c>
      <c r="H251" s="21">
        <f t="shared" si="64"/>
        <v>878093.09844370338</v>
      </c>
      <c r="I251" s="21">
        <f t="shared" si="65"/>
        <v>1691498.5477074324</v>
      </c>
      <c r="J251" s="23">
        <f t="shared" si="68"/>
        <v>912021.72639364668</v>
      </c>
      <c r="K251" s="22">
        <f t="shared" si="66"/>
        <v>0.8546691364426422</v>
      </c>
      <c r="L251" s="22">
        <f>IFERROR((1+K251)/VLOOKUP(B251,'Исходные данные'!$A$4:$G$24,6,FALSE)-1,"")</f>
        <v>-4.2167864108025865E-3</v>
      </c>
      <c r="M251" s="20">
        <f t="shared" si="67"/>
        <v>0.10843715289881617</v>
      </c>
    </row>
    <row r="252" spans="1:14" x14ac:dyDescent="0.25">
      <c r="A252" s="27" t="s">
        <v>48</v>
      </c>
      <c r="B252" s="25">
        <f>'Исходные данные'!$A10</f>
        <v>2010</v>
      </c>
      <c r="C252" s="39">
        <f>IF(AND(Таблица6[[#This Row],[Год]]&gt;=Настройки!$B$4, Таблица6[[#This Row],[Год]]&lt;=Настройки!$B$5),IFERROR(VLOOKUP(Таблица6[[#This Row],[Год]],Данные[#All],9,FALSE),0),0)</f>
        <v>214190.14478275157</v>
      </c>
      <c r="D252" s="19">
        <f>VLOOKUP($A$246,Настройки!$L$2:$N$13,2,FALSE)</f>
        <v>0.8</v>
      </c>
      <c r="E252" s="19">
        <f>VLOOKUP($A$246,Настройки!$L$2:$N$13,3,FALSE)</f>
        <v>0.2</v>
      </c>
      <c r="F252" s="20">
        <f>D252*VLOOKUP(B252,'Исходные данные'!$A$4:$G$24,2,FALSE)+E252*VLOOKUP(B252,'Исходные данные'!$A$4:$G$24,3,FALSE)+(1-D252-E252)*VLOOKUP(B252,'Исходные данные'!$A$4:$G$24,4,FALSE)</f>
        <v>0.22457254661118958</v>
      </c>
      <c r="G252" s="40">
        <f t="shared" si="69"/>
        <v>1691498.5477074324</v>
      </c>
      <c r="H252" s="21">
        <f t="shared" si="64"/>
        <v>427965.36272066878</v>
      </c>
      <c r="I252" s="21">
        <f t="shared" si="65"/>
        <v>2333654.055210853</v>
      </c>
      <c r="J252" s="23">
        <f t="shared" si="68"/>
        <v>1126211.8711763984</v>
      </c>
      <c r="K252" s="22">
        <f t="shared" si="66"/>
        <v>1.0721270259504601</v>
      </c>
      <c r="L252" s="22">
        <f>IFERROR((1+K252)/VLOOKUP(B252,'Исходные данные'!$A$4:$G$24,6,FALSE)-1,"")</f>
        <v>2.2741023843655173E-2</v>
      </c>
      <c r="M252" s="20">
        <f t="shared" si="67"/>
        <v>0.10969170404191408</v>
      </c>
    </row>
    <row r="253" spans="1:14" x14ac:dyDescent="0.25">
      <c r="A253" s="27" t="s">
        <v>48</v>
      </c>
      <c r="B253" s="25">
        <f>'Исходные данные'!$A11</f>
        <v>2011</v>
      </c>
      <c r="C253" s="39">
        <f>IF(AND(Таблица6[[#This Row],[Год]]&gt;=Настройки!$B$4, Таблица6[[#This Row],[Год]]&lt;=Настройки!$B$5),IFERROR(VLOOKUP(Таблица6[[#This Row],[Год]],Данные[#All],9,FALSE),0),0)</f>
        <v>232996.03949467718</v>
      </c>
      <c r="D253" s="19">
        <f>VLOOKUP($A$246,Настройки!$L$2:$N$13,2,FALSE)</f>
        <v>0.8</v>
      </c>
      <c r="E253" s="19">
        <f>VLOOKUP($A$246,Настройки!$L$2:$N$13,3,FALSE)</f>
        <v>0.2</v>
      </c>
      <c r="F253" s="20">
        <f>D253*VLOOKUP(B253,'Исходные данные'!$A$4:$G$24,2,FALSE)+E253*VLOOKUP(B253,'Исходные данные'!$A$4:$G$24,3,FALSE)+(1-D253-E253)*VLOOKUP(B253,'Исходные данные'!$A$4:$G$24,4,FALSE)</f>
        <v>-0.10405392744795089</v>
      </c>
      <c r="G253" s="40">
        <f t="shared" si="69"/>
        <v>2333654.055210853</v>
      </c>
      <c r="H253" s="21">
        <f t="shared" si="64"/>
        <v>-267070.02273876552</v>
      </c>
      <c r="I253" s="21">
        <f t="shared" si="65"/>
        <v>2299580.0719667645</v>
      </c>
      <c r="J253" s="23">
        <f t="shared" si="68"/>
        <v>1359207.9106710756</v>
      </c>
      <c r="K253" s="22">
        <f t="shared" si="66"/>
        <v>0.69185306671103997</v>
      </c>
      <c r="L253" s="22">
        <f>IFERROR((1+K253)/VLOOKUP(B253,'Исходные данные'!$A$4:$G$24,6,FALSE)-1,"")</f>
        <v>-0.21296044347320731</v>
      </c>
      <c r="M253" s="20">
        <f t="shared" si="67"/>
        <v>6.7936254731814971E-2</v>
      </c>
    </row>
    <row r="254" spans="1:14" x14ac:dyDescent="0.25">
      <c r="A254" s="27" t="s">
        <v>48</v>
      </c>
      <c r="B254" s="25">
        <f>'Исходные данные'!$A12</f>
        <v>2012</v>
      </c>
      <c r="C254" s="39">
        <f>IF(AND(Таблица6[[#This Row],[Год]]&gt;=Настройки!$B$4, Таблица6[[#This Row],[Год]]&lt;=Настройки!$B$5),IFERROR(VLOOKUP(Таблица6[[#This Row],[Год]],Данные[#All],9,FALSE),0),0)</f>
        <v>247208.79790385248</v>
      </c>
      <c r="D254" s="19">
        <f>VLOOKUP($A$246,Настройки!$L$2:$N$13,2,FALSE)</f>
        <v>0.8</v>
      </c>
      <c r="E254" s="19">
        <f>VLOOKUP($A$246,Настройки!$L$2:$N$13,3,FALSE)</f>
        <v>0.2</v>
      </c>
      <c r="F254" s="20">
        <f>D254*VLOOKUP(B254,'Исходные данные'!$A$4:$G$24,2,FALSE)+E254*VLOOKUP(B254,'Исходные данные'!$A$4:$G$24,3,FALSE)+(1-D254-E254)*VLOOKUP(B254,'Исходные данные'!$A$4:$G$24,4,FALSE)</f>
        <v>9.9444592864635389E-2</v>
      </c>
      <c r="G254" s="40">
        <f t="shared" si="69"/>
        <v>2299580.0719667645</v>
      </c>
      <c r="H254" s="21">
        <f t="shared" si="64"/>
        <v>253264.38227646839</v>
      </c>
      <c r="I254" s="21">
        <f t="shared" si="65"/>
        <v>2800053.2521470855</v>
      </c>
      <c r="J254" s="23">
        <f t="shared" si="68"/>
        <v>1606416.7085749281</v>
      </c>
      <c r="K254" s="22">
        <f t="shared" si="66"/>
        <v>0.74304290860560518</v>
      </c>
      <c r="L254" s="22">
        <f>IFERROR((1+K254)/VLOOKUP(B254,'Исходные данные'!$A$4:$G$24,6,FALSE)-1,"")</f>
        <v>-0.23920739953047387</v>
      </c>
      <c r="M254" s="20">
        <f t="shared" si="67"/>
        <v>6.3682486610808997E-2</v>
      </c>
    </row>
    <row r="255" spans="1:14" x14ac:dyDescent="0.25">
      <c r="A255" s="27" t="s">
        <v>48</v>
      </c>
      <c r="B255" s="25">
        <f>'Исходные данные'!$A13</f>
        <v>2013</v>
      </c>
      <c r="C255" s="39">
        <f>IF(AND(Таблица6[[#This Row],[Год]]&gt;=Настройки!$B$4, Таблица6[[#This Row],[Год]]&lt;=Настройки!$B$5),IFERROR(VLOOKUP(Таблица6[[#This Row],[Год]],Данные[#All],9,FALSE),0),0)</f>
        <v>263475.13680592598</v>
      </c>
      <c r="D255" s="19">
        <f>VLOOKUP($A$246,Настройки!$L$2:$N$13,2,FALSE)</f>
        <v>0.8</v>
      </c>
      <c r="E255" s="19">
        <f>VLOOKUP($A$246,Настройки!$L$2:$N$13,3,FALSE)</f>
        <v>0.2</v>
      </c>
      <c r="F255" s="20">
        <f>D255*VLOOKUP(B255,'Исходные данные'!$A$4:$G$24,2,FALSE)+E255*VLOOKUP(B255,'Исходные данные'!$A$4:$G$24,3,FALSE)+(1-D255-E255)*VLOOKUP(B255,'Исходные данные'!$A$4:$G$24,4,FALSE)</f>
        <v>5.8124145881720539E-2</v>
      </c>
      <c r="G255" s="40">
        <f t="shared" si="69"/>
        <v>2800053.2521470855</v>
      </c>
      <c r="H255" s="21">
        <f t="shared" si="64"/>
        <v>178064.97099229714</v>
      </c>
      <c r="I255" s="21">
        <f t="shared" si="65"/>
        <v>3241593.3599453084</v>
      </c>
      <c r="J255" s="23">
        <f t="shared" si="68"/>
        <v>1869891.8453808541</v>
      </c>
      <c r="K255" s="22">
        <f t="shared" si="66"/>
        <v>0.73357264910959075</v>
      </c>
      <c r="L255" s="22">
        <f>IFERROR((1+K255)/VLOOKUP(B255,'Исходные данные'!$A$4:$G$24,6,FALSE)-1,"")</f>
        <v>-0.28918827608204556</v>
      </c>
      <c r="M255" s="20">
        <f t="shared" si="67"/>
        <v>5.6560096849450625E-2</v>
      </c>
    </row>
    <row r="256" spans="1:14" x14ac:dyDescent="0.25">
      <c r="A256" s="27" t="s">
        <v>48</v>
      </c>
      <c r="B256" s="25">
        <f>'Исходные данные'!$A14</f>
        <v>2014</v>
      </c>
      <c r="C256" s="39">
        <f>IF(AND(Таблица6[[#This Row],[Год]]&gt;=Настройки!$B$4, Таблица6[[#This Row],[Год]]&lt;=Настройки!$B$5),IFERROR(VLOOKUP(Таблица6[[#This Row],[Год]],Данные[#All],9,FALSE),0),0)</f>
        <v>280469.2831299082</v>
      </c>
      <c r="D256" s="19">
        <f>VLOOKUP($A$246,Настройки!$L$2:$N$13,2,FALSE)</f>
        <v>0.8</v>
      </c>
      <c r="E256" s="19">
        <f>VLOOKUP($A$246,Настройки!$L$2:$N$13,3,FALSE)</f>
        <v>0.2</v>
      </c>
      <c r="F256" s="20">
        <f>D256*VLOOKUP(B256,'Исходные данные'!$A$4:$G$24,2,FALSE)+E256*VLOOKUP(B256,'Исходные данные'!$A$4:$G$24,3,FALSE)+(1-D256-E256)*VLOOKUP(B256,'Исходные данные'!$A$4:$G$24,4,FALSE)</f>
        <v>-4.3464500914519595E-2</v>
      </c>
      <c r="G256" s="40">
        <f t="shared" si="69"/>
        <v>3241593.3599453084</v>
      </c>
      <c r="H256" s="21">
        <f t="shared" si="64"/>
        <v>-153084.69497093806</v>
      </c>
      <c r="I256" s="21">
        <f t="shared" si="65"/>
        <v>3368977.9481042787</v>
      </c>
      <c r="J256" s="23">
        <f t="shared" si="68"/>
        <v>2150361.1285107625</v>
      </c>
      <c r="K256" s="22">
        <f t="shared" si="66"/>
        <v>0.56670333342449886</v>
      </c>
      <c r="L256" s="22">
        <f>IFERROR((1+K256)/VLOOKUP(B256,'Исходные данные'!$A$4:$G$24,6,FALSE)-1,"")</f>
        <v>-0.42314045763751029</v>
      </c>
      <c r="M256" s="20">
        <f t="shared" si="67"/>
        <v>4.1660197403112331E-2</v>
      </c>
    </row>
    <row r="257" spans="1:14" x14ac:dyDescent="0.25">
      <c r="A257" s="27" t="s">
        <v>48</v>
      </c>
      <c r="B257" s="25">
        <f>'Исходные данные'!$A15</f>
        <v>2015</v>
      </c>
      <c r="C257" s="39">
        <f>IF(AND(Таблица6[[#This Row],[Год]]&gt;=Настройки!$B$4, Таблица6[[#This Row],[Год]]&lt;=Настройки!$B$5),IFERROR(VLOOKUP(Таблица6[[#This Row],[Год]],Данные[#All],9,FALSE),0),0)</f>
        <v>312330.59369346575</v>
      </c>
      <c r="D257" s="19">
        <f>VLOOKUP($A$246,Настройки!$L$2:$N$13,2,FALSE)</f>
        <v>0.8</v>
      </c>
      <c r="E257" s="19">
        <f>VLOOKUP($A$246,Настройки!$L$2:$N$13,3,FALSE)</f>
        <v>0.2</v>
      </c>
      <c r="F257" s="20">
        <f>D257*VLOOKUP(B257,'Исходные данные'!$A$4:$G$24,2,FALSE)+E257*VLOOKUP(B257,'Исходные данные'!$A$4:$G$24,3,FALSE)+(1-D257-E257)*VLOOKUP(B257,'Исходные данные'!$A$4:$G$24,4,FALSE)</f>
        <v>0.31731335310399694</v>
      </c>
      <c r="G257" s="40">
        <f t="shared" si="69"/>
        <v>3368977.9481042787</v>
      </c>
      <c r="H257" s="21">
        <f t="shared" si="64"/>
        <v>1168128.3572082277</v>
      </c>
      <c r="I257" s="21">
        <f t="shared" si="65"/>
        <v>4849436.8990059718</v>
      </c>
      <c r="J257" s="23">
        <f t="shared" si="68"/>
        <v>2462691.7222042284</v>
      </c>
      <c r="K257" s="22">
        <f t="shared" si="66"/>
        <v>0.96916116429931831</v>
      </c>
      <c r="L257" s="22">
        <f>IFERROR((1+K257)/VLOOKUP(B257,'Исходные данные'!$A$4:$G$24,6,FALSE)-1,"")</f>
        <v>-0.35785638549443188</v>
      </c>
      <c r="M257" s="20">
        <f t="shared" si="67"/>
        <v>5.8092018782619936E-2</v>
      </c>
    </row>
    <row r="258" spans="1:14" x14ac:dyDescent="0.25">
      <c r="A258" s="27" t="s">
        <v>48</v>
      </c>
      <c r="B258" s="25">
        <f>'Исходные данные'!$A16</f>
        <v>2016</v>
      </c>
      <c r="C258" s="39">
        <f>IF(AND(Таблица6[[#This Row],[Год]]&gt;=Настройки!$B$4, Таблица6[[#This Row],[Год]]&lt;=Настройки!$B$5),IFERROR(VLOOKUP(Таблица6[[#This Row],[Год]],Данные[#All],9,FALSE),0),0)</f>
        <v>352652.47333929216</v>
      </c>
      <c r="D258" s="19">
        <f>VLOOKUP($A$246,Настройки!$L$2:$N$13,2,FALSE)</f>
        <v>0.8</v>
      </c>
      <c r="E258" s="19">
        <f>VLOOKUP($A$246,Настройки!$L$2:$N$13,3,FALSE)</f>
        <v>0.2</v>
      </c>
      <c r="F258" s="20">
        <f>D258*VLOOKUP(B258,'Исходные данные'!$A$4:$G$24,2,FALSE)+E258*VLOOKUP(B258,'Исходные данные'!$A$4:$G$24,3,FALSE)+(1-D258-E258)*VLOOKUP(B258,'Исходные данные'!$A$4:$G$24,4,FALSE)</f>
        <v>0.29199914012330386</v>
      </c>
      <c r="G258" s="40">
        <f t="shared" si="69"/>
        <v>4849436.8990059718</v>
      </c>
      <c r="H258" s="21">
        <f t="shared" si="64"/>
        <v>1519005.6235693945</v>
      </c>
      <c r="I258" s="21">
        <f t="shared" si="65"/>
        <v>6721094.9959146585</v>
      </c>
      <c r="J258" s="23">
        <f t="shared" si="68"/>
        <v>2815344.1955435206</v>
      </c>
      <c r="K258" s="22">
        <f t="shared" si="66"/>
        <v>1.3873084529250985</v>
      </c>
      <c r="L258" s="22">
        <f>IFERROR((1+K258)/VLOOKUP(B258,'Исходные данные'!$A$4:$G$24,6,FALSE)-1,"")</f>
        <v>-0.26124361448743783</v>
      </c>
      <c r="M258" s="20">
        <f t="shared" si="67"/>
        <v>6.9226927099725888E-2</v>
      </c>
    </row>
    <row r="259" spans="1:14" x14ac:dyDescent="0.25">
      <c r="A259" s="27" t="s">
        <v>48</v>
      </c>
      <c r="B259" s="25">
        <f>'Исходные данные'!$A17</f>
        <v>2017</v>
      </c>
      <c r="C259" s="39">
        <f>IF(AND(Таблица6[[#This Row],[Год]]&gt;=Настройки!$B$4, Таблица6[[#This Row],[Год]]&lt;=Настройки!$B$5),IFERROR(VLOOKUP(Таблица6[[#This Row],[Год]],Данные[#All],9,FALSE),0),0)</f>
        <v>371625.17640494613</v>
      </c>
      <c r="D259" s="19">
        <f>VLOOKUP($A$246,Настройки!$L$2:$N$13,2,FALSE)</f>
        <v>0.8</v>
      </c>
      <c r="E259" s="19">
        <f>VLOOKUP($A$246,Настройки!$L$2:$N$13,3,FALSE)</f>
        <v>0.2</v>
      </c>
      <c r="F259" s="20">
        <f>D259*VLOOKUP(B259,'Исходные данные'!$A$4:$G$24,2,FALSE)+E259*VLOOKUP(B259,'Исходные данные'!$A$4:$G$24,3,FALSE)+(1-D259-E259)*VLOOKUP(B259,'Исходные данные'!$A$4:$G$24,4,FALSE)</f>
        <v>2.3989147299443833E-2</v>
      </c>
      <c r="G259" s="40">
        <f t="shared" si="69"/>
        <v>6721094.9959146585</v>
      </c>
      <c r="H259" s="21">
        <f t="shared" si="64"/>
        <v>170148.30896751166</v>
      </c>
      <c r="I259" s="21">
        <f t="shared" si="65"/>
        <v>7262868.4812871171</v>
      </c>
      <c r="J259" s="23">
        <f t="shared" si="68"/>
        <v>3186969.3719484666</v>
      </c>
      <c r="K259" s="22">
        <f t="shared" si="66"/>
        <v>1.2789263509133459</v>
      </c>
      <c r="L259" s="22">
        <f>IFERROR((1+K259)/VLOOKUP(B259,'Исходные данные'!$A$4:$G$24,6,FALSE)-1,"")</f>
        <v>-0.31211727251282562</v>
      </c>
      <c r="M259" s="20">
        <f t="shared" si="67"/>
        <v>6.0601320693579597E-2</v>
      </c>
    </row>
    <row r="260" spans="1:14" x14ac:dyDescent="0.25">
      <c r="A260" s="27" t="s">
        <v>48</v>
      </c>
      <c r="B260" s="25">
        <f>'Исходные данные'!$A18</f>
        <v>2018</v>
      </c>
      <c r="C260" s="39">
        <f>IF(AND(Таблица6[[#This Row],[Год]]&gt;=Настройки!$B$4, Таблица6[[#This Row],[Год]]&lt;=Настройки!$B$5),IFERROR(VLOOKUP(Таблица6[[#This Row],[Год]],Данные[#All],9,FALSE),0),0)</f>
        <v>380990.13085035072</v>
      </c>
      <c r="D260" s="19">
        <f>VLOOKUP($A$246,Настройки!$L$2:$N$13,2,FALSE)</f>
        <v>0.8</v>
      </c>
      <c r="E260" s="19">
        <f>VLOOKUP($A$246,Настройки!$L$2:$N$13,3,FALSE)</f>
        <v>0.2</v>
      </c>
      <c r="F260" s="20">
        <f>D260*VLOOKUP(B260,'Исходные данные'!$A$4:$G$24,2,FALSE)+E260*VLOOKUP(B260,'Исходные данные'!$A$4:$G$24,3,FALSE)+(1-D260-E260)*VLOOKUP(B260,'Исходные данные'!$A$4:$G$24,4,FALSE)</f>
        <v>0.1569276979770598</v>
      </c>
      <c r="G260" s="40">
        <f t="shared" si="69"/>
        <v>7262868.4812871171</v>
      </c>
      <c r="H260" s="21">
        <f t="shared" si="64"/>
        <v>1199533.1356648561</v>
      </c>
      <c r="I260" s="21">
        <f t="shared" si="65"/>
        <v>8843391.7478023246</v>
      </c>
      <c r="J260" s="23">
        <f t="shared" si="68"/>
        <v>3567959.5027988171</v>
      </c>
      <c r="K260" s="22">
        <f t="shared" si="66"/>
        <v>1.4785572092018691</v>
      </c>
      <c r="L260" s="22">
        <f>IFERROR((1+K260)/VLOOKUP(B260,'Исходные данные'!$A$4:$G$24,6,FALSE)-1,"")</f>
        <v>-0.28249705409208314</v>
      </c>
      <c r="M260" s="20">
        <f t="shared" si="67"/>
        <v>6.2380106696615201E-2</v>
      </c>
    </row>
    <row r="261" spans="1:14" x14ac:dyDescent="0.25">
      <c r="A261" s="27" t="s">
        <v>48</v>
      </c>
      <c r="B261" s="25">
        <f>'Исходные данные'!$A19</f>
        <v>2019</v>
      </c>
      <c r="C261" s="39">
        <f>IF(AND(Таблица6[[#This Row],[Год]]&gt;=Настройки!$B$4, Таблица6[[#This Row],[Год]]&lt;=Настройки!$B$5),IFERROR(VLOOKUP(Таблица6[[#This Row],[Год]],Данные[#All],9,FALSE),0),0)</f>
        <v>397258.40943766065</v>
      </c>
      <c r="D261" s="19">
        <f>VLOOKUP($A$246,Настройки!$L$2:$N$13,2,FALSE)</f>
        <v>0.8</v>
      </c>
      <c r="E261" s="19">
        <f>VLOOKUP($A$246,Настройки!$L$2:$N$13,3,FALSE)</f>
        <v>0.2</v>
      </c>
      <c r="F261" s="20">
        <f>D261*VLOOKUP(B261,'Исходные данные'!$A$4:$G$24,2,FALSE)+E261*VLOOKUP(B261,'Исходные данные'!$A$4:$G$24,3,FALSE)+(1-D261-E261)*VLOOKUP(B261,'Исходные данные'!$A$4:$G$24,4,FALSE)</f>
        <v>0.34759023717970572</v>
      </c>
      <c r="G261" s="40">
        <f t="shared" si="69"/>
        <v>8843391.7478023246</v>
      </c>
      <c r="H261" s="21">
        <f t="shared" si="64"/>
        <v>3211959.7798497314</v>
      </c>
      <c r="I261" s="21">
        <f t="shared" si="65"/>
        <v>12452609.937089715</v>
      </c>
      <c r="J261" s="23">
        <f t="shared" si="68"/>
        <v>3965217.9122364777</v>
      </c>
      <c r="K261" s="22">
        <f t="shared" si="66"/>
        <v>2.1404604268182945</v>
      </c>
      <c r="L261" s="22">
        <f>IFERROR((1+K261)/VLOOKUP(B261,'Исходные данные'!$A$4:$G$24,6,FALSE)-1,"")</f>
        <v>-0.11779387229092975</v>
      </c>
      <c r="M261" s="20">
        <f t="shared" si="67"/>
        <v>7.4142951161651593E-2</v>
      </c>
    </row>
    <row r="262" spans="1:14" x14ac:dyDescent="0.25">
      <c r="A262" s="27" t="s">
        <v>48</v>
      </c>
      <c r="B262" s="25">
        <f>'Исходные данные'!$A20</f>
        <v>2020</v>
      </c>
      <c r="C262" s="39">
        <f>IF(AND(Таблица6[[#This Row],[Год]]&gt;=Настройки!$B$4, Таблица6[[#This Row],[Год]]&lt;=Настройки!$B$5),IFERROR(VLOOKUP(Таблица6[[#This Row],[Год]],Данные[#All],9,FALSE),0),0)</f>
        <v>409374.7909255093</v>
      </c>
      <c r="D262" s="19">
        <f>VLOOKUP($A$246,Настройки!$L$2:$N$13,2,FALSE)</f>
        <v>0.8</v>
      </c>
      <c r="E262" s="19">
        <f>VLOOKUP($A$246,Настройки!$L$2:$N$13,3,FALSE)</f>
        <v>0.2</v>
      </c>
      <c r="F262" s="20">
        <f>D262*VLOOKUP(B262,'Исходные данные'!$A$4:$G$24,2,FALSE)+E262*VLOOKUP(B262,'Исходные данные'!$A$4:$G$24,3,FALSE)+(1-D262-E262)*VLOOKUP(B262,'Исходные данные'!$A$4:$G$24,4,FALSE)</f>
        <v>0.13567934090715039</v>
      </c>
      <c r="G262" s="40">
        <f t="shared" si="69"/>
        <v>12452609.937089715</v>
      </c>
      <c r="H262" s="21">
        <f t="shared" si="64"/>
        <v>1745105.6106549397</v>
      </c>
      <c r="I262" s="21">
        <f t="shared" si="65"/>
        <v>14607090.338670164</v>
      </c>
      <c r="J262" s="23">
        <f t="shared" si="68"/>
        <v>4374592.7031619865</v>
      </c>
      <c r="K262" s="22">
        <f t="shared" si="66"/>
        <v>2.3390743618513459</v>
      </c>
      <c r="L262" s="22">
        <f>IFERROR((1+K262)/VLOOKUP(B262,'Исходные данные'!$A$4:$G$24,6,FALSE)-1,"")</f>
        <v>-0.10590030078905677</v>
      </c>
      <c r="M262" s="20">
        <f t="shared" si="67"/>
        <v>7.3498729462029067E-2</v>
      </c>
    </row>
    <row r="263" spans="1:14" x14ac:dyDescent="0.25">
      <c r="A263" s="27" t="s">
        <v>48</v>
      </c>
      <c r="B263" s="25">
        <f>'Исходные данные'!$A21</f>
        <v>2021</v>
      </c>
      <c r="C263" s="39">
        <f>IF(AND(Таблица6[[#This Row],[Год]]&gt;=Настройки!$B$4, Таблица6[[#This Row],[Год]]&lt;=Настройки!$B$5),IFERROR(VLOOKUP(Таблица6[[#This Row],[Год]],Данные[#All],9,FALSE),0),0)</f>
        <v>429475.09315995179</v>
      </c>
      <c r="D263" s="19">
        <f>VLOOKUP($A$246,Настройки!$L$2:$N$13,2,FALSE)</f>
        <v>0.8</v>
      </c>
      <c r="E263" s="19">
        <f>VLOOKUP($A$246,Настройки!$L$2:$N$13,3,FALSE)</f>
        <v>0.2</v>
      </c>
      <c r="F263" s="20">
        <f>D263*VLOOKUP(B263,'Исходные данные'!$A$4:$G$24,2,FALSE)+E263*VLOOKUP(B263,'Исходные данные'!$A$4:$G$24,3,FALSE)+(1-D263-E263)*VLOOKUP(B263,'Исходные данные'!$A$4:$G$24,4,FALSE)</f>
        <v>0.16425868875585006</v>
      </c>
      <c r="G263" s="40">
        <f t="shared" si="69"/>
        <v>14607090.338670164</v>
      </c>
      <c r="H263" s="21">
        <f t="shared" si="64"/>
        <v>2469886.5212239572</v>
      </c>
      <c r="I263" s="21">
        <f t="shared" si="65"/>
        <v>17506451.953054074</v>
      </c>
      <c r="J263" s="23">
        <f t="shared" si="68"/>
        <v>4804067.7963219387</v>
      </c>
      <c r="K263" s="22">
        <f t="shared" si="66"/>
        <v>2.6440892791848727</v>
      </c>
      <c r="L263" s="22">
        <f>IFERROR((1+K263)/VLOOKUP(B263,'Исходные данные'!$A$4:$G$24,6,FALSE)-1,"")</f>
        <v>-9.9757213700274905E-2</v>
      </c>
      <c r="M263" s="20">
        <f t="shared" si="67"/>
        <v>7.448260587303257E-2</v>
      </c>
    </row>
    <row r="264" spans="1:14" x14ac:dyDescent="0.25">
      <c r="A264" s="27" t="s">
        <v>48</v>
      </c>
      <c r="B264" s="25">
        <f>'Исходные данные'!$A22</f>
        <v>2022</v>
      </c>
      <c r="C264" s="39">
        <f>IF(AND(Таблица6[[#This Row],[Год]]&gt;=Настройки!$B$4, Таблица6[[#This Row],[Год]]&lt;=Настройки!$B$5),IFERROR(VLOOKUP(Таблица6[[#This Row],[Год]],Данные[#All],9,FALSE),0),0)</f>
        <v>465508.0534760718</v>
      </c>
      <c r="D264" s="19">
        <f>VLOOKUP($A$246,Настройки!$L$2:$N$13,2,FALSE)</f>
        <v>0.8</v>
      </c>
      <c r="E264" s="19">
        <f>VLOOKUP($A$246,Настройки!$L$2:$N$13,3,FALSE)</f>
        <v>0.2</v>
      </c>
      <c r="F264" s="20">
        <f>D264*VLOOKUP(B264,'Исходные данные'!$A$4:$G$24,2,FALSE)+E264*VLOOKUP(B264,'Исходные данные'!$A$4:$G$24,3,FALSE)+(1-D264-E264)*VLOOKUP(B264,'Исходные данные'!$A$4:$G$24,4,FALSE)</f>
        <v>-0.29040917421646301</v>
      </c>
      <c r="G264" s="40">
        <f t="shared" si="69"/>
        <v>17506451.953054074</v>
      </c>
      <c r="H264" s="21">
        <f t="shared" si="64"/>
        <v>-5219222.0645477194</v>
      </c>
      <c r="I264" s="21">
        <f t="shared" si="65"/>
        <v>12752737.941982428</v>
      </c>
      <c r="J264" s="23">
        <f t="shared" si="68"/>
        <v>5269575.8497980107</v>
      </c>
      <c r="K264" s="22">
        <f t="shared" si="66"/>
        <v>1.4200691489185522</v>
      </c>
      <c r="L264" s="22">
        <f>IFERROR((1+K264)/VLOOKUP(B264,'Исходные данные'!$A$4:$G$24,6,FALSE)-1,"")</f>
        <v>-0.46591163847286299</v>
      </c>
      <c r="M264" s="20">
        <f t="shared" si="67"/>
        <v>4.7614405939794713E-2</v>
      </c>
    </row>
    <row r="265" spans="1:14" x14ac:dyDescent="0.25">
      <c r="A265" s="27" t="s">
        <v>48</v>
      </c>
      <c r="B265" s="25">
        <f>'Исходные данные'!$A23</f>
        <v>2023</v>
      </c>
      <c r="C265" s="39">
        <f>IF(AND(Таблица6[[#This Row],[Год]]&gt;=Настройки!$B$4, Таблица6[[#This Row],[Год]]&lt;=Настройки!$B$5),IFERROR(VLOOKUP(Таблица6[[#This Row],[Год]],Данные[#All],9,FALSE),0),0)</f>
        <v>521089.71506111475</v>
      </c>
      <c r="D265" s="19">
        <f>VLOOKUP($A$246,Настройки!$L$2:$N$13,2,FALSE)</f>
        <v>0.8</v>
      </c>
      <c r="E265" s="19">
        <f>VLOOKUP($A$246,Настройки!$L$2:$N$13,3,FALSE)</f>
        <v>0.2</v>
      </c>
      <c r="F265" s="20">
        <f>D265*VLOOKUP(B265,'Исходные данные'!$A$4:$G$24,2,FALSE)+E265*VLOOKUP(B265,'Исходные данные'!$A$4:$G$24,3,FALSE)+(1-D265-E265)*VLOOKUP(B265,'Исходные данные'!$A$4:$G$24,4,FALSE)</f>
        <v>0.43220078757630848</v>
      </c>
      <c r="G265" s="40">
        <f t="shared" si="69"/>
        <v>12752737.941982428</v>
      </c>
      <c r="H265" s="21">
        <f t="shared" si="64"/>
        <v>5736958.7675264049</v>
      </c>
      <c r="I265" s="21">
        <f t="shared" si="65"/>
        <v>19010786.42456995</v>
      </c>
      <c r="J265" s="23">
        <f t="shared" si="68"/>
        <v>5790665.5648591258</v>
      </c>
      <c r="K265" s="22">
        <f t="shared" si="66"/>
        <v>2.2830054182264696</v>
      </c>
      <c r="L265" s="22">
        <f>IFERROR((1+K265)/VLOOKUP(B265,'Исходные данные'!$A$4:$G$24,6,FALSE)-1,"")</f>
        <v>-0.32551578488774957</v>
      </c>
      <c r="M265" s="20">
        <f t="shared" si="67"/>
        <v>6.1239924330123374E-2</v>
      </c>
    </row>
    <row r="266" spans="1:14" x14ac:dyDescent="0.25">
      <c r="A266" s="32" t="s">
        <v>48</v>
      </c>
      <c r="B266" s="33">
        <f>'Исходные данные'!$A24</f>
        <v>2024</v>
      </c>
      <c r="C266" s="39">
        <f>IF(AND(Таблица6[[#This Row],[Год]]&gt;=Настройки!$B$4, Таблица6[[#This Row],[Год]]&lt;=Настройки!$B$5),IFERROR(VLOOKUP(Таблица6[[#This Row],[Год]],Данные[#All],9,FALSE),0),0)</f>
        <v>559754.57191864948</v>
      </c>
      <c r="D266" s="34">
        <f>VLOOKUP($A$246,Настройки!$L$2:$N$13,2,FALSE)</f>
        <v>0.8</v>
      </c>
      <c r="E266" s="34">
        <f>VLOOKUP($A$246,Настройки!$L$2:$N$13,3,FALSE)</f>
        <v>0.2</v>
      </c>
      <c r="F266" s="35">
        <f>D266*VLOOKUP(B266,'Исходные данные'!$A$4:$G$24,2,FALSE)+E266*VLOOKUP(B266,'Исходные данные'!$A$4:$G$24,3,FALSE)+(1-D266-E266)*VLOOKUP(B266,'Исходные данные'!$A$4:$G$24,4,FALSE)</f>
        <v>-4.2164050647148423E-3</v>
      </c>
      <c r="G266" s="41">
        <f t="shared" si="69"/>
        <v>19010786.42456995</v>
      </c>
      <c r="H266" s="36">
        <f t="shared" si="64"/>
        <v>-82517.328176803974</v>
      </c>
      <c r="I266" s="36">
        <f t="shared" si="65"/>
        <v>19488023.668311793</v>
      </c>
      <c r="J266" s="37">
        <f t="shared" si="68"/>
        <v>6350420.1367777754</v>
      </c>
      <c r="K266" s="22">
        <f t="shared" si="66"/>
        <v>2.0687770649140202</v>
      </c>
      <c r="L266" s="22">
        <f>IFERROR((1+K266)/VLOOKUP(B266,'Исходные данные'!$A$4:$G$24,6,FALSE)-1,"")</f>
        <v>-0.42433199105662445</v>
      </c>
      <c r="M266" s="20">
        <f t="shared" si="67"/>
        <v>5.4845430039398568E-2</v>
      </c>
    </row>
    <row r="269" spans="1:14" ht="30" x14ac:dyDescent="0.25">
      <c r="A269" s="28" t="s">
        <v>50</v>
      </c>
      <c r="B269" s="29" t="s">
        <v>10</v>
      </c>
      <c r="C269" s="28" t="s">
        <v>37</v>
      </c>
      <c r="D269" s="30" t="s">
        <v>53</v>
      </c>
      <c r="E269" s="30" t="s">
        <v>54</v>
      </c>
      <c r="F269" s="30" t="s">
        <v>55</v>
      </c>
      <c r="G269" s="30" t="s">
        <v>56</v>
      </c>
      <c r="H269" s="30" t="s">
        <v>57</v>
      </c>
      <c r="I269" s="30" t="s">
        <v>80</v>
      </c>
      <c r="J269" s="30" t="s">
        <v>79</v>
      </c>
      <c r="K269" s="30" t="s">
        <v>38</v>
      </c>
      <c r="L269" s="30" t="s">
        <v>83</v>
      </c>
      <c r="M269" s="31" t="s">
        <v>59</v>
      </c>
    </row>
    <row r="270" spans="1:14" x14ac:dyDescent="0.25">
      <c r="A270" s="27" t="s">
        <v>49</v>
      </c>
      <c r="B270" s="25">
        <f>'Исходные данные'!$A4</f>
        <v>2004</v>
      </c>
      <c r="C270" s="39">
        <f>IF(AND(Таблица4[[#This Row],[Год]]&gt;=Настройки!$B$4, Таблица4[[#This Row],[Год]]&lt;=Настройки!$B$5),IFERROR(VLOOKUP(Таблица4[[#This Row],[Год]],Данные[#All],9,FALSE),0),0)</f>
        <v>115000</v>
      </c>
      <c r="D270" s="19">
        <f>VLOOKUP($A$270,Настройки!$L$2:$N$13,2,FALSE)</f>
        <v>0.9</v>
      </c>
      <c r="E270" s="19">
        <f>VLOOKUP($A$270,Настройки!$L$2:$N$13,3,FALSE)</f>
        <v>0.1</v>
      </c>
      <c r="F270" s="20">
        <f>D270*VLOOKUP(B270,'Исходные данные'!$A$4:$G$24,2,FALSE)+E270*VLOOKUP(B270,'Исходные данные'!$A$4:$G$24,3,FALSE)+(1-D270-E270)*VLOOKUP(B270,'Исходные данные'!$A$4:$G$24,4,FALSE)</f>
        <v>7.6478548507588451E-2</v>
      </c>
      <c r="G270" s="39">
        <f>0</f>
        <v>0</v>
      </c>
      <c r="H270" s="21">
        <f>(G270+C270)*F270</f>
        <v>8795.0330783726713</v>
      </c>
      <c r="I270" s="21">
        <f>G270+C270+H270</f>
        <v>123795.03307837267</v>
      </c>
      <c r="J270" s="21">
        <f>C270</f>
        <v>115000</v>
      </c>
      <c r="K270" s="22">
        <f>IFERROR((I270-J270)/J270,"")</f>
        <v>7.6478548507588409E-2</v>
      </c>
      <c r="L270" s="22">
        <f>IFERROR((1+K270)/VLOOKUP(B270,'Исходные данные'!$A$4:$G$24,6,FALSE)-1,"")</f>
        <v>-3.6622025677833792E-2</v>
      </c>
      <c r="M270" s="20">
        <f>IFERROR((I270/J270)^(1/(B270-$B$270+1))-1,"")</f>
        <v>7.6478548507588506E-2</v>
      </c>
      <c r="N270" s="24"/>
    </row>
    <row r="271" spans="1:14" x14ac:dyDescent="0.25">
      <c r="A271" s="27" t="s">
        <v>49</v>
      </c>
      <c r="B271" s="25">
        <f>'Исходные данные'!$A5</f>
        <v>2005</v>
      </c>
      <c r="C271" s="39">
        <f>IF(AND(Таблица4[[#This Row],[Год]]&gt;=Настройки!$B$4, Таблица4[[#This Row],[Год]]&lt;=Настройки!$B$5),IFERROR(VLOOKUP(Таблица4[[#This Row],[Год]],Данные[#All],9,FALSE),0),0)</f>
        <v>128501</v>
      </c>
      <c r="D271" s="19">
        <f>VLOOKUP($A$270,Настройки!$L$2:$N$13,2,FALSE)</f>
        <v>0.9</v>
      </c>
      <c r="E271" s="19">
        <f>VLOOKUP($A$270,Настройки!$L$2:$N$13,3,FALSE)</f>
        <v>0.1</v>
      </c>
      <c r="F271" s="20">
        <f>D271*VLOOKUP(B271,'Исходные данные'!$A$4:$G$24,2,FALSE)+E271*VLOOKUP(B271,'Исходные данные'!$A$4:$G$24,3,FALSE)+(1-D271-E271)*VLOOKUP(B271,'Исходные данные'!$A$4:$G$24,4,FALSE)</f>
        <v>0.77550623116566053</v>
      </c>
      <c r="G271" s="40">
        <f>I270</f>
        <v>123795.03307837267</v>
      </c>
      <c r="H271" s="21">
        <f t="shared" ref="H271:H290" si="70">(G271+C271)*F271</f>
        <v>195657.14575065559</v>
      </c>
      <c r="I271" s="21">
        <f t="shared" ref="I271:I290" si="71">G271+C271+H271</f>
        <v>447953.17882902827</v>
      </c>
      <c r="J271" s="23">
        <f>J270+C271</f>
        <v>243501</v>
      </c>
      <c r="K271" s="22">
        <f t="shared" ref="K271:K290" si="72">IFERROR((I271-J271)/J271,"")</f>
        <v>0.83963588991021909</v>
      </c>
      <c r="L271" s="22">
        <f>IFERROR((1+K271)/VLOOKUP(B271,'Исходные данные'!$A$4:$G$24,6,FALSE)-1,"")</f>
        <v>0.48440531749364268</v>
      </c>
      <c r="M271" s="20">
        <f t="shared" ref="M271:M290" si="73">IFERROR((I271/J271)^(1/(B271-$B$270+1))-1,"")</f>
        <v>0.35633177722496034</v>
      </c>
    </row>
    <row r="272" spans="1:14" x14ac:dyDescent="0.25">
      <c r="A272" s="27" t="s">
        <v>49</v>
      </c>
      <c r="B272" s="25">
        <f>'Исходные данные'!$A6</f>
        <v>2006</v>
      </c>
      <c r="C272" s="39">
        <f>IF(AND(Таблица4[[#This Row],[Год]]&gt;=Настройки!$B$4, Таблица4[[#This Row],[Год]]&lt;=Настройки!$B$5),IFERROR(VLOOKUP(Таблица4[[#This Row],[Год]],Данные[#All],9,FALSE),0),0)</f>
        <v>142520.45910000001</v>
      </c>
      <c r="D272" s="19">
        <f>VLOOKUP($A$270,Настройки!$L$2:$N$13,2,FALSE)</f>
        <v>0.9</v>
      </c>
      <c r="E272" s="19">
        <f>VLOOKUP($A$270,Настройки!$L$2:$N$13,3,FALSE)</f>
        <v>0.1</v>
      </c>
      <c r="F272" s="20">
        <f>D272*VLOOKUP(B272,'Исходные данные'!$A$4:$G$24,2,FALSE)+E272*VLOOKUP(B272,'Исходные данные'!$A$4:$G$24,3,FALSE)+(1-D272-E272)*VLOOKUP(B272,'Исходные данные'!$A$4:$G$24,4,FALSE)</f>
        <v>0.63508083184185382</v>
      </c>
      <c r="G272" s="40">
        <f>I271</f>
        <v>447953.17882902827</v>
      </c>
      <c r="H272" s="21">
        <f t="shared" si="70"/>
        <v>374998.48915665288</v>
      </c>
      <c r="I272" s="21">
        <f t="shared" si="71"/>
        <v>965472.12708568107</v>
      </c>
      <c r="J272" s="23">
        <f t="shared" ref="J272:J290" si="74">J271+C272</f>
        <v>386021.45909999998</v>
      </c>
      <c r="K272" s="22">
        <f t="shared" si="72"/>
        <v>1.5010840830886885</v>
      </c>
      <c r="L272" s="22">
        <f>IFERROR((1+K272)/VLOOKUP(B272,'Исходные данные'!$A$4:$G$24,6,FALSE)-1,"")</f>
        <v>0.85149448223060809</v>
      </c>
      <c r="M272" s="20">
        <f t="shared" si="73"/>
        <v>0.35740495689691998</v>
      </c>
    </row>
    <row r="273" spans="1:13" x14ac:dyDescent="0.25">
      <c r="A273" s="27" t="s">
        <v>49</v>
      </c>
      <c r="B273" s="25">
        <f>'Исходные данные'!$A7</f>
        <v>2007</v>
      </c>
      <c r="C273" s="39">
        <f>IF(AND(Таблица4[[#This Row],[Год]]&gt;=Настройки!$B$4, Таблица4[[#This Row],[Год]]&lt;=Настройки!$B$5),IFERROR(VLOOKUP(Таблица4[[#This Row],[Год]],Данные[#All],9,FALSE),0),0)</f>
        <v>155347.30041900001</v>
      </c>
      <c r="D273" s="19">
        <f>VLOOKUP($A$270,Настройки!$L$2:$N$13,2,FALSE)</f>
        <v>0.9</v>
      </c>
      <c r="E273" s="19">
        <f>VLOOKUP($A$270,Настройки!$L$2:$N$13,3,FALSE)</f>
        <v>0.1</v>
      </c>
      <c r="F273" s="20">
        <f>D273*VLOOKUP(B273,'Исходные данные'!$A$4:$G$24,2,FALSE)+E273*VLOOKUP(B273,'Исходные данные'!$A$4:$G$24,3,FALSE)+(1-D273-E273)*VLOOKUP(B273,'Исходные данные'!$A$4:$G$24,4,FALSE)</f>
        <v>0.12126304302789968</v>
      </c>
      <c r="G273" s="40">
        <f t="shared" ref="G273:G290" si="75">I272</f>
        <v>965472.12708568107</v>
      </c>
      <c r="H273" s="21">
        <f t="shared" si="70"/>
        <v>135913.97446400602</v>
      </c>
      <c r="I273" s="21">
        <f t="shared" si="71"/>
        <v>1256733.4019686871</v>
      </c>
      <c r="J273" s="23">
        <f t="shared" si="74"/>
        <v>541368.75951899996</v>
      </c>
      <c r="K273" s="22">
        <f t="shared" si="72"/>
        <v>1.3213999328023296</v>
      </c>
      <c r="L273" s="22">
        <f>IFERROR((1+K273)/VLOOKUP(B273,'Исходные данные'!$A$4:$G$24,6,FALSE)-1,"")</f>
        <v>0.53613880152982296</v>
      </c>
      <c r="M273" s="20">
        <f t="shared" si="73"/>
        <v>0.23434764241058836</v>
      </c>
    </row>
    <row r="274" spans="1:13" x14ac:dyDescent="0.25">
      <c r="A274" s="27" t="s">
        <v>49</v>
      </c>
      <c r="B274" s="25">
        <f>'Исходные данные'!$A8</f>
        <v>2008</v>
      </c>
      <c r="C274" s="39">
        <f>IF(AND(Таблица4[[#This Row],[Год]]&gt;=Настройки!$B$4, Таблица4[[#This Row],[Год]]&lt;=Настройки!$B$5),IFERROR(VLOOKUP(Таблица4[[#This Row],[Год]],Данные[#All],9,FALSE),0),0)</f>
        <v>173787.02497873531</v>
      </c>
      <c r="D274" s="19">
        <f>VLOOKUP($A$270,Настройки!$L$2:$N$13,2,FALSE)</f>
        <v>0.9</v>
      </c>
      <c r="E274" s="19">
        <f>VLOOKUP($A$270,Настройки!$L$2:$N$13,3,FALSE)</f>
        <v>0.1</v>
      </c>
      <c r="F274" s="20">
        <f>D274*VLOOKUP(B274,'Исходные данные'!$A$4:$G$24,2,FALSE)+E274*VLOOKUP(B274,'Исходные данные'!$A$4:$G$24,3,FALSE)+(1-D274-E274)*VLOOKUP(B274,'Исходные данные'!$A$4:$G$24,4,FALSE)</f>
        <v>-0.60502986388518676</v>
      </c>
      <c r="G274" s="40">
        <f t="shared" si="75"/>
        <v>1256733.4019686871</v>
      </c>
      <c r="H274" s="21">
        <f t="shared" si="70"/>
        <v>-865507.57920097816</v>
      </c>
      <c r="I274" s="21">
        <f t="shared" si="71"/>
        <v>565012.84774644417</v>
      </c>
      <c r="J274" s="23">
        <f t="shared" si="74"/>
        <v>715155.78449773532</v>
      </c>
      <c r="K274" s="22">
        <f t="shared" si="72"/>
        <v>-0.2099443785618525</v>
      </c>
      <c r="L274" s="22">
        <f>IFERROR((1+K274)/VLOOKUP(B274,'Исходные данные'!$A$4:$G$24,6,FALSE)-1,"")</f>
        <v>-0.53848595856450721</v>
      </c>
      <c r="M274" s="20">
        <f t="shared" si="73"/>
        <v>-4.6036993770716572E-2</v>
      </c>
    </row>
    <row r="275" spans="1:13" x14ac:dyDescent="0.25">
      <c r="A275" s="27" t="s">
        <v>49</v>
      </c>
      <c r="B275" s="25">
        <f>'Исходные данные'!$A9</f>
        <v>2009</v>
      </c>
      <c r="C275" s="39">
        <f>IF(AND(Таблица4[[#This Row],[Год]]&gt;=Настройки!$B$4, Таблица4[[#This Row],[Год]]&lt;=Настройки!$B$5),IFERROR(VLOOKUP(Таблица4[[#This Row],[Год]],Данные[#All],9,FALSE),0),0)</f>
        <v>196865.94189591135</v>
      </c>
      <c r="D275" s="19">
        <f>VLOOKUP($A$270,Настройки!$L$2:$N$13,2,FALSE)</f>
        <v>0.9</v>
      </c>
      <c r="E275" s="19">
        <f>VLOOKUP($A$270,Настройки!$L$2:$N$13,3,FALSE)</f>
        <v>0.1</v>
      </c>
      <c r="F275" s="20">
        <f>D275*VLOOKUP(B275,'Исходные данные'!$A$4:$G$24,2,FALSE)+E275*VLOOKUP(B275,'Исходные данные'!$A$4:$G$24,3,FALSE)+(1-D275-E275)*VLOOKUP(B275,'Исходные данные'!$A$4:$G$24,4,FALSE)</f>
        <v>1.1703072700408421</v>
      </c>
      <c r="G275" s="40">
        <f t="shared" si="75"/>
        <v>565012.84774644417</v>
      </c>
      <c r="H275" s="21">
        <f t="shared" si="70"/>
        <v>891632.28640836605</v>
      </c>
      <c r="I275" s="21">
        <f t="shared" si="71"/>
        <v>1653511.0760507216</v>
      </c>
      <c r="J275" s="23">
        <f t="shared" si="74"/>
        <v>912021.72639364668</v>
      </c>
      <c r="K275" s="22">
        <f t="shared" si="72"/>
        <v>0.81301719926026561</v>
      </c>
      <c r="L275" s="22">
        <f>IFERROR((1+K275)/VLOOKUP(B275,'Исходные данные'!$A$4:$G$24,6,FALSE)-1,"")</f>
        <v>-2.6579966476027783E-2</v>
      </c>
      <c r="M275" s="20">
        <f t="shared" si="73"/>
        <v>0.10424893060630991</v>
      </c>
    </row>
    <row r="276" spans="1:13" x14ac:dyDescent="0.25">
      <c r="A276" s="27" t="s">
        <v>49</v>
      </c>
      <c r="B276" s="25">
        <f>'Исходные данные'!$A10</f>
        <v>2010</v>
      </c>
      <c r="C276" s="39">
        <f>IF(AND(Таблица4[[#This Row],[Год]]&gt;=Настройки!$B$4, Таблица4[[#This Row],[Год]]&lt;=Настройки!$B$5),IFERROR(VLOOKUP(Таблица4[[#This Row],[Год]],Данные[#All],9,FALSE),0),0)</f>
        <v>214190.14478275157</v>
      </c>
      <c r="D276" s="19">
        <f>VLOOKUP($A$270,Настройки!$L$2:$N$13,2,FALSE)</f>
        <v>0.9</v>
      </c>
      <c r="E276" s="19">
        <f>VLOOKUP($A$270,Настройки!$L$2:$N$13,3,FALSE)</f>
        <v>0.1</v>
      </c>
      <c r="F276" s="20">
        <f>D276*VLOOKUP(B276,'Исходные данные'!$A$4:$G$24,2,FALSE)+E276*VLOOKUP(B276,'Исходные данные'!$A$4:$G$24,3,FALSE)+(1-D276-E276)*VLOOKUP(B276,'Исходные данные'!$A$4:$G$24,4,FALSE)</f>
        <v>0.23870972404182142</v>
      </c>
      <c r="G276" s="40">
        <f t="shared" si="75"/>
        <v>1653511.0760507216</v>
      </c>
      <c r="H276" s="21">
        <f t="shared" si="70"/>
        <v>445838.44301773136</v>
      </c>
      <c r="I276" s="21">
        <f t="shared" si="71"/>
        <v>2313539.6638512043</v>
      </c>
      <c r="J276" s="23">
        <f t="shared" si="74"/>
        <v>1126211.8711763984</v>
      </c>
      <c r="K276" s="22">
        <f t="shared" si="72"/>
        <v>1.0542668063288734</v>
      </c>
      <c r="L276" s="22">
        <f>IFERROR((1+K276)/VLOOKUP(B276,'Исходные данные'!$A$4:$G$24,6,FALSE)-1,"")</f>
        <v>1.3925744146467967E-2</v>
      </c>
      <c r="M276" s="20">
        <f t="shared" si="73"/>
        <v>0.10832023939693558</v>
      </c>
    </row>
    <row r="277" spans="1:13" x14ac:dyDescent="0.25">
      <c r="A277" s="27" t="s">
        <v>49</v>
      </c>
      <c r="B277" s="25">
        <f>'Исходные данные'!$A11</f>
        <v>2011</v>
      </c>
      <c r="C277" s="39">
        <f>IF(AND(Таблица4[[#This Row],[Год]]&gt;=Настройки!$B$4, Таблица4[[#This Row],[Год]]&lt;=Настройки!$B$5),IFERROR(VLOOKUP(Таблица4[[#This Row],[Год]],Данные[#All],9,FALSE),0),0)</f>
        <v>232996.03949467718</v>
      </c>
      <c r="D277" s="19">
        <f>VLOOKUP($A$270,Настройки!$L$2:$N$13,2,FALSE)</f>
        <v>0.9</v>
      </c>
      <c r="E277" s="19">
        <f>VLOOKUP($A$270,Настройки!$L$2:$N$13,3,FALSE)</f>
        <v>0.1</v>
      </c>
      <c r="F277" s="20">
        <f>D277*VLOOKUP(B277,'Исходные данные'!$A$4:$G$24,2,FALSE)+E277*VLOOKUP(B277,'Исходные данные'!$A$4:$G$24,3,FALSE)+(1-D277-E277)*VLOOKUP(B277,'Исходные данные'!$A$4:$G$24,4,FALSE)</f>
        <v>-0.12430353217044336</v>
      </c>
      <c r="G277" s="40">
        <f t="shared" si="75"/>
        <v>2313539.6638512043</v>
      </c>
      <c r="H277" s="21">
        <f t="shared" si="70"/>
        <v>-316543.38272403739</v>
      </c>
      <c r="I277" s="21">
        <f t="shared" si="71"/>
        <v>2229992.3206218439</v>
      </c>
      <c r="J277" s="23">
        <f t="shared" si="74"/>
        <v>1359207.9106710756</v>
      </c>
      <c r="K277" s="22">
        <f t="shared" si="72"/>
        <v>0.64065578423601133</v>
      </c>
      <c r="L277" s="22">
        <f>IFERROR((1+K277)/VLOOKUP(B277,'Исходные данные'!$A$4:$G$24,6,FALSE)-1,"")</f>
        <v>-0.23677710183873268</v>
      </c>
      <c r="M277" s="20">
        <f t="shared" si="73"/>
        <v>6.3842127811192917E-2</v>
      </c>
    </row>
    <row r="278" spans="1:13" x14ac:dyDescent="0.25">
      <c r="A278" s="27" t="s">
        <v>49</v>
      </c>
      <c r="B278" s="25">
        <f>'Исходные данные'!$A12</f>
        <v>2012</v>
      </c>
      <c r="C278" s="39">
        <f>IF(AND(Таблица4[[#This Row],[Год]]&gt;=Настройки!$B$4, Таблица4[[#This Row],[Год]]&lt;=Настройки!$B$5),IFERROR(VLOOKUP(Таблица4[[#This Row],[Год]],Данные[#All],9,FALSE),0),0)</f>
        <v>247208.79790385248</v>
      </c>
      <c r="D278" s="19">
        <f>VLOOKUP($A$270,Настройки!$L$2:$N$13,2,FALSE)</f>
        <v>0.9</v>
      </c>
      <c r="E278" s="19">
        <f>VLOOKUP($A$270,Настройки!$L$2:$N$13,3,FALSE)</f>
        <v>0.1</v>
      </c>
      <c r="F278" s="20">
        <f>D278*VLOOKUP(B278,'Исходные данные'!$A$4:$G$24,2,FALSE)+E278*VLOOKUP(B278,'Исходные данные'!$A$4:$G$24,3,FALSE)+(1-D278-E278)*VLOOKUP(B278,'Исходные данные'!$A$4:$G$24,4,FALSE)</f>
        <v>9.3568289635666616E-2</v>
      </c>
      <c r="G278" s="40">
        <f t="shared" si="75"/>
        <v>2229992.3206218439</v>
      </c>
      <c r="H278" s="21">
        <f t="shared" si="70"/>
        <v>231787.47174400967</v>
      </c>
      <c r="I278" s="21">
        <f t="shared" si="71"/>
        <v>2708988.5902697062</v>
      </c>
      <c r="J278" s="23">
        <f t="shared" si="74"/>
        <v>1606416.7085749281</v>
      </c>
      <c r="K278" s="22">
        <f t="shared" si="72"/>
        <v>0.6863548391954184</v>
      </c>
      <c r="L278" s="22">
        <f>IFERROR((1+K278)/VLOOKUP(B278,'Исходные данные'!$A$4:$G$24,6,FALSE)-1,"")</f>
        <v>-0.26395025785555914</v>
      </c>
      <c r="M278" s="20">
        <f t="shared" si="73"/>
        <v>5.9782030643155792E-2</v>
      </c>
    </row>
    <row r="279" spans="1:13" x14ac:dyDescent="0.25">
      <c r="A279" s="27" t="s">
        <v>49</v>
      </c>
      <c r="B279" s="25">
        <f>'Исходные данные'!$A13</f>
        <v>2013</v>
      </c>
      <c r="C279" s="39">
        <f>IF(AND(Таблица4[[#This Row],[Год]]&gt;=Настройки!$B$4, Таблица4[[#This Row],[Год]]&lt;=Настройки!$B$5),IFERROR(VLOOKUP(Таблица4[[#This Row],[Год]],Данные[#All],9,FALSE),0),0)</f>
        <v>263475.13680592598</v>
      </c>
      <c r="D279" s="19">
        <f>VLOOKUP($A$270,Настройки!$L$2:$N$13,2,FALSE)</f>
        <v>0.9</v>
      </c>
      <c r="E279" s="19">
        <f>VLOOKUP($A$270,Настройки!$L$2:$N$13,3,FALSE)</f>
        <v>0.1</v>
      </c>
      <c r="F279" s="20">
        <f>D279*VLOOKUP(B279,'Исходные данные'!$A$4:$G$24,2,FALSE)+E279*VLOOKUP(B279,'Исходные данные'!$A$4:$G$24,3,FALSE)+(1-D279-E279)*VLOOKUP(B279,'Исходные данные'!$A$4:$G$24,4,FALSE)</f>
        <v>6.0637161958524206E-2</v>
      </c>
      <c r="G279" s="40">
        <f t="shared" si="75"/>
        <v>2708988.5902697062</v>
      </c>
      <c r="H279" s="21">
        <f t="shared" si="70"/>
        <v>180241.76443452359</v>
      </c>
      <c r="I279" s="21">
        <f t="shared" si="71"/>
        <v>3152705.4915101556</v>
      </c>
      <c r="J279" s="23">
        <f t="shared" si="74"/>
        <v>1869891.8453808541</v>
      </c>
      <c r="K279" s="22">
        <f t="shared" si="72"/>
        <v>0.68603628027909913</v>
      </c>
      <c r="L279" s="22">
        <f>IFERROR((1+K279)/VLOOKUP(B279,'Исходные данные'!$A$4:$G$24,6,FALSE)-1,"")</f>
        <v>-0.30867947438547783</v>
      </c>
      <c r="M279" s="20">
        <f t="shared" si="73"/>
        <v>5.3626515592744672E-2</v>
      </c>
    </row>
    <row r="280" spans="1:13" x14ac:dyDescent="0.25">
      <c r="A280" s="27" t="s">
        <v>49</v>
      </c>
      <c r="B280" s="25">
        <f>'Исходные данные'!$A14</f>
        <v>2014</v>
      </c>
      <c r="C280" s="39">
        <f>IF(AND(Таблица4[[#This Row],[Год]]&gt;=Настройки!$B$4, Таблица4[[#This Row],[Год]]&lt;=Настройки!$B$5),IFERROR(VLOOKUP(Таблица4[[#This Row],[Год]],Данные[#All],9,FALSE),0),0)</f>
        <v>280469.2831299082</v>
      </c>
      <c r="D280" s="19">
        <f>VLOOKUP($A$270,Настройки!$L$2:$N$13,2,FALSE)</f>
        <v>0.9</v>
      </c>
      <c r="E280" s="19">
        <f>VLOOKUP($A$270,Настройки!$L$2:$N$13,3,FALSE)</f>
        <v>0.1</v>
      </c>
      <c r="F280" s="20">
        <f>D280*VLOOKUP(B280,'Исходные данные'!$A$4:$G$24,2,FALSE)+E280*VLOOKUP(B280,'Исходные данные'!$A$4:$G$24,3,FALSE)+(1-D280-E280)*VLOOKUP(B280,'Исходные данные'!$A$4:$G$24,4,FALSE)</f>
        <v>-3.0953505861407996E-2</v>
      </c>
      <c r="G280" s="40">
        <f t="shared" si="75"/>
        <v>3152705.4915101556</v>
      </c>
      <c r="H280" s="21">
        <f t="shared" si="70"/>
        <v>-106268.7955100593</v>
      </c>
      <c r="I280" s="21">
        <f t="shared" si="71"/>
        <v>3326905.9791300045</v>
      </c>
      <c r="J280" s="23">
        <f t="shared" si="74"/>
        <v>2150361.1285107625</v>
      </c>
      <c r="K280" s="22">
        <f t="shared" si="72"/>
        <v>0.54713826204348337</v>
      </c>
      <c r="L280" s="22">
        <f>IFERROR((1+K280)/VLOOKUP(B280,'Исходные данные'!$A$4:$G$24,6,FALSE)-1,"")</f>
        <v>-0.43034430911491328</v>
      </c>
      <c r="M280" s="20">
        <f t="shared" si="73"/>
        <v>4.0470857566812013E-2</v>
      </c>
    </row>
    <row r="281" spans="1:13" x14ac:dyDescent="0.25">
      <c r="A281" s="27" t="s">
        <v>49</v>
      </c>
      <c r="B281" s="25">
        <f>'Исходные данные'!$A15</f>
        <v>2015</v>
      </c>
      <c r="C281" s="39">
        <f>IF(AND(Таблица4[[#This Row],[Год]]&gt;=Настройки!$B$4, Таблица4[[#This Row],[Год]]&lt;=Настройки!$B$5),IFERROR(VLOOKUP(Таблица4[[#This Row],[Год]],Данные[#All],9,FALSE),0),0)</f>
        <v>312330.59369346575</v>
      </c>
      <c r="D281" s="19">
        <f>VLOOKUP($A$270,Настройки!$L$2:$N$13,2,FALSE)</f>
        <v>0.9</v>
      </c>
      <c r="E281" s="19">
        <f>VLOOKUP($A$270,Настройки!$L$2:$N$13,3,FALSE)</f>
        <v>0.1</v>
      </c>
      <c r="F281" s="20">
        <f>D281*VLOOKUP(B281,'Исходные данные'!$A$4:$G$24,2,FALSE)+E281*VLOOKUP(B281,'Исходные данные'!$A$4:$G$24,3,FALSE)+(1-D281-E281)*VLOOKUP(B281,'Исходные данные'!$A$4:$G$24,4,FALSE)</f>
        <v>0.32003323765815361</v>
      </c>
      <c r="G281" s="40">
        <f t="shared" si="75"/>
        <v>3326905.9791300045</v>
      </c>
      <c r="H281" s="21">
        <f t="shared" si="70"/>
        <v>1164676.6630046582</v>
      </c>
      <c r="I281" s="21">
        <f t="shared" si="71"/>
        <v>4803913.2358281286</v>
      </c>
      <c r="J281" s="23">
        <f t="shared" si="74"/>
        <v>2462691.7222042284</v>
      </c>
      <c r="K281" s="22">
        <f t="shared" si="72"/>
        <v>0.95067583673379696</v>
      </c>
      <c r="L281" s="22">
        <f>IFERROR((1+K281)/VLOOKUP(B281,'Исходные данные'!$A$4:$G$24,6,FALSE)-1,"")</f>
        <v>-0.36388445230452815</v>
      </c>
      <c r="M281" s="20">
        <f t="shared" si="73"/>
        <v>5.7260707091441043E-2</v>
      </c>
    </row>
    <row r="282" spans="1:13" x14ac:dyDescent="0.25">
      <c r="A282" s="27" t="s">
        <v>49</v>
      </c>
      <c r="B282" s="25">
        <f>'Исходные данные'!$A16</f>
        <v>2016</v>
      </c>
      <c r="C282" s="39">
        <f>IF(AND(Таблица4[[#This Row],[Год]]&gt;=Настройки!$B$4, Таблица4[[#This Row],[Год]]&lt;=Настройки!$B$5),IFERROR(VLOOKUP(Таблица4[[#This Row],[Год]],Данные[#All],9,FALSE),0),0)</f>
        <v>352652.47333929216</v>
      </c>
      <c r="D282" s="19">
        <f>VLOOKUP($A$270,Настройки!$L$2:$N$13,2,FALSE)</f>
        <v>0.9</v>
      </c>
      <c r="E282" s="19">
        <f>VLOOKUP($A$270,Настройки!$L$2:$N$13,3,FALSE)</f>
        <v>0.1</v>
      </c>
      <c r="F282" s="20">
        <f>D282*VLOOKUP(B282,'Исходные данные'!$A$4:$G$24,2,FALSE)+E282*VLOOKUP(B282,'Исходные данные'!$A$4:$G$24,3,FALSE)+(1-D282-E282)*VLOOKUP(B282,'Исходные данные'!$A$4:$G$24,4,FALSE)</f>
        <v>0.30990120926771819</v>
      </c>
      <c r="G282" s="40">
        <f t="shared" si="75"/>
        <v>4803913.2358281286</v>
      </c>
      <c r="H282" s="21">
        <f t="shared" si="70"/>
        <v>1598025.9489394326</v>
      </c>
      <c r="I282" s="21">
        <f t="shared" si="71"/>
        <v>6754591.6581068533</v>
      </c>
      <c r="J282" s="23">
        <f t="shared" si="74"/>
        <v>2815344.1955435206</v>
      </c>
      <c r="K282" s="22">
        <f t="shared" si="72"/>
        <v>1.3992063452841279</v>
      </c>
      <c r="L282" s="22">
        <f>IFERROR((1+K282)/VLOOKUP(B282,'Исходные данные'!$A$4:$G$24,6,FALSE)-1,"")</f>
        <v>-0.25756179283443592</v>
      </c>
      <c r="M282" s="20">
        <f t="shared" si="73"/>
        <v>6.9635896767223038E-2</v>
      </c>
    </row>
    <row r="283" spans="1:13" x14ac:dyDescent="0.25">
      <c r="A283" s="27" t="s">
        <v>49</v>
      </c>
      <c r="B283" s="25">
        <f>'Исходные данные'!$A17</f>
        <v>2017</v>
      </c>
      <c r="C283" s="39">
        <f>IF(AND(Таблица4[[#This Row],[Год]]&gt;=Настройки!$B$4, Таблица4[[#This Row],[Год]]&lt;=Настройки!$B$5),IFERROR(VLOOKUP(Таблица4[[#This Row],[Год]],Данные[#All],9,FALSE),0),0)</f>
        <v>371625.17640494613</v>
      </c>
      <c r="D283" s="19">
        <f>VLOOKUP($A$270,Настройки!$L$2:$N$13,2,FALSE)</f>
        <v>0.9</v>
      </c>
      <c r="E283" s="19">
        <f>VLOOKUP($A$270,Настройки!$L$2:$N$13,3,FALSE)</f>
        <v>0.1</v>
      </c>
      <c r="F283" s="20">
        <f>D283*VLOOKUP(B283,'Исходные данные'!$A$4:$G$24,2,FALSE)+E283*VLOOKUP(B283,'Исходные данные'!$A$4:$G$24,3,FALSE)+(1-D283-E283)*VLOOKUP(B283,'Исходные данные'!$A$4:$G$24,4,FALSE)</f>
        <v>1.1064473973510923E-2</v>
      </c>
      <c r="G283" s="40">
        <f t="shared" si="75"/>
        <v>6754591.6581068533</v>
      </c>
      <c r="H283" s="21">
        <f t="shared" si="70"/>
        <v>78847.8406950512</v>
      </c>
      <c r="I283" s="21">
        <f t="shared" si="71"/>
        <v>7205064.6752068512</v>
      </c>
      <c r="J283" s="23">
        <f t="shared" si="74"/>
        <v>3186969.3719484666</v>
      </c>
      <c r="K283" s="22">
        <f t="shared" si="72"/>
        <v>1.2607888041301696</v>
      </c>
      <c r="L283" s="22">
        <f>IFERROR((1+K283)/VLOOKUP(B283,'Исходные данные'!$A$4:$G$24,6,FALSE)-1,"")</f>
        <v>-0.31759200193799431</v>
      </c>
      <c r="M283" s="20">
        <f t="shared" si="73"/>
        <v>5.9996143653456846E-2</v>
      </c>
    </row>
    <row r="284" spans="1:13" x14ac:dyDescent="0.25">
      <c r="A284" s="27" t="s">
        <v>49</v>
      </c>
      <c r="B284" s="25">
        <f>'Исходные данные'!$A18</f>
        <v>2018</v>
      </c>
      <c r="C284" s="39">
        <f>IF(AND(Таблица4[[#This Row],[Год]]&gt;=Настройки!$B$4, Таблица4[[#This Row],[Год]]&lt;=Настройки!$B$5),IFERROR(VLOOKUP(Таблица4[[#This Row],[Год]],Данные[#All],9,FALSE),0),0)</f>
        <v>380990.13085035072</v>
      </c>
      <c r="D284" s="19">
        <f>VLOOKUP($A$270,Настройки!$L$2:$N$13,2,FALSE)</f>
        <v>0.9</v>
      </c>
      <c r="E284" s="19">
        <f>VLOOKUP($A$270,Настройки!$L$2:$N$13,3,FALSE)</f>
        <v>0.1</v>
      </c>
      <c r="F284" s="20">
        <f>D284*VLOOKUP(B284,'Исходные данные'!$A$4:$G$24,2,FALSE)+E284*VLOOKUP(B284,'Исходные данные'!$A$4:$G$24,3,FALSE)+(1-D284-E284)*VLOOKUP(B284,'Исходные данные'!$A$4:$G$24,4,FALSE)</f>
        <v>0.17389087023941233</v>
      </c>
      <c r="G284" s="40">
        <f t="shared" si="75"/>
        <v>7205064.6752068512</v>
      </c>
      <c r="H284" s="21">
        <f t="shared" si="70"/>
        <v>1319145.671909163</v>
      </c>
      <c r="I284" s="21">
        <f t="shared" si="71"/>
        <v>8905200.4779663645</v>
      </c>
      <c r="J284" s="23">
        <f t="shared" si="74"/>
        <v>3567959.5027988171</v>
      </c>
      <c r="K284" s="22">
        <f t="shared" si="72"/>
        <v>1.4958804804204902</v>
      </c>
      <c r="L284" s="22">
        <f>IFERROR((1+K284)/VLOOKUP(B284,'Исходные данные'!$A$4:$G$24,6,FALSE)-1,"")</f>
        <v>-0.27748224221444051</v>
      </c>
      <c r="M284" s="20">
        <f t="shared" si="73"/>
        <v>6.2873515806387781E-2</v>
      </c>
    </row>
    <row r="285" spans="1:13" x14ac:dyDescent="0.25">
      <c r="A285" s="27" t="s">
        <v>49</v>
      </c>
      <c r="B285" s="25">
        <f>'Исходные данные'!$A19</f>
        <v>2019</v>
      </c>
      <c r="C285" s="39">
        <f>IF(AND(Таблица4[[#This Row],[Год]]&gt;=Настройки!$B$4, Таблица4[[#This Row],[Год]]&lt;=Настройки!$B$5),IFERROR(VLOOKUP(Таблица4[[#This Row],[Год]],Данные[#All],9,FALSE),0),0)</f>
        <v>397258.40943766065</v>
      </c>
      <c r="D285" s="19">
        <f>VLOOKUP($A$270,Настройки!$L$2:$N$13,2,FALSE)</f>
        <v>0.9</v>
      </c>
      <c r="E285" s="19">
        <f>VLOOKUP($A$270,Настройки!$L$2:$N$13,3,FALSE)</f>
        <v>0.1</v>
      </c>
      <c r="F285" s="20">
        <f>D285*VLOOKUP(B285,'Исходные данные'!$A$4:$G$24,2,FALSE)+E285*VLOOKUP(B285,'Исходные данные'!$A$4:$G$24,3,FALSE)+(1-D285-E285)*VLOOKUP(B285,'Исходные данные'!$A$4:$G$24,4,FALSE)</f>
        <v>0.36604898764939442</v>
      </c>
      <c r="G285" s="40">
        <f t="shared" si="75"/>
        <v>8905200.4779663645</v>
      </c>
      <c r="H285" s="21">
        <f t="shared" si="70"/>
        <v>3405155.6583843553</v>
      </c>
      <c r="I285" s="21">
        <f t="shared" si="71"/>
        <v>12707614.545788379</v>
      </c>
      <c r="J285" s="23">
        <f t="shared" si="74"/>
        <v>3965217.9122364777</v>
      </c>
      <c r="K285" s="22">
        <f t="shared" si="72"/>
        <v>2.2047707911772698</v>
      </c>
      <c r="L285" s="22">
        <f>IFERROR((1+K285)/VLOOKUP(B285,'Исходные данные'!$A$4:$G$24,6,FALSE)-1,"")</f>
        <v>-9.9728050786478839E-2</v>
      </c>
      <c r="M285" s="20">
        <f t="shared" si="73"/>
        <v>7.5504695656126053E-2</v>
      </c>
    </row>
    <row r="286" spans="1:13" x14ac:dyDescent="0.25">
      <c r="A286" s="27" t="s">
        <v>49</v>
      </c>
      <c r="B286" s="25">
        <f>'Исходные данные'!$A20</f>
        <v>2020</v>
      </c>
      <c r="C286" s="39">
        <f>IF(AND(Таблица4[[#This Row],[Год]]&gt;=Настройки!$B$4, Таблица4[[#This Row],[Год]]&lt;=Настройки!$B$5),IFERROR(VLOOKUP(Таблица4[[#This Row],[Год]],Данные[#All],9,FALSE),0),0)</f>
        <v>409374.7909255093</v>
      </c>
      <c r="D286" s="19">
        <f>VLOOKUP($A$270,Настройки!$L$2:$N$13,2,FALSE)</f>
        <v>0.9</v>
      </c>
      <c r="E286" s="19">
        <f>VLOOKUP($A$270,Настройки!$L$2:$N$13,3,FALSE)</f>
        <v>0.1</v>
      </c>
      <c r="F286" s="20">
        <f>D286*VLOOKUP(B286,'Исходные данные'!$A$4:$G$24,2,FALSE)+E286*VLOOKUP(B286,'Исходные данные'!$A$4:$G$24,3,FALSE)+(1-D286-E286)*VLOOKUP(B286,'Исходные данные'!$A$4:$G$24,4,FALSE)</f>
        <v>0.14196364667372019</v>
      </c>
      <c r="G286" s="40">
        <f t="shared" si="75"/>
        <v>12707614.545788379</v>
      </c>
      <c r="H286" s="21">
        <f t="shared" si="70"/>
        <v>1862135.6396202056</v>
      </c>
      <c r="I286" s="21">
        <f t="shared" si="71"/>
        <v>14979124.976334093</v>
      </c>
      <c r="J286" s="23">
        <f t="shared" si="74"/>
        <v>4374592.7031619865</v>
      </c>
      <c r="K286" s="22">
        <f t="shared" si="72"/>
        <v>2.4241187677899876</v>
      </c>
      <c r="L286" s="22">
        <f>IFERROR((1+K286)/VLOOKUP(B286,'Исходные данные'!$A$4:$G$24,6,FALSE)-1,"")</f>
        <v>-8.3128068269157529E-2</v>
      </c>
      <c r="M286" s="20">
        <f t="shared" si="73"/>
        <v>7.5088083902931535E-2</v>
      </c>
    </row>
    <row r="287" spans="1:13" x14ac:dyDescent="0.25">
      <c r="A287" s="27" t="s">
        <v>49</v>
      </c>
      <c r="B287" s="25">
        <f>'Исходные данные'!$A21</f>
        <v>2021</v>
      </c>
      <c r="C287" s="39">
        <f>IF(AND(Таблица4[[#This Row],[Год]]&gt;=Настройки!$B$4, Таблица4[[#This Row],[Год]]&lt;=Настройки!$B$5),IFERROR(VLOOKUP(Таблица4[[#This Row],[Год]],Данные[#All],9,FALSE),0),0)</f>
        <v>429475.09315995179</v>
      </c>
      <c r="D287" s="19">
        <f>VLOOKUP($A$270,Настройки!$L$2:$N$13,2,FALSE)</f>
        <v>0.9</v>
      </c>
      <c r="E287" s="19">
        <f>VLOOKUP($A$270,Настройки!$L$2:$N$13,3,FALSE)</f>
        <v>0.1</v>
      </c>
      <c r="F287" s="20">
        <f>D287*VLOOKUP(B287,'Исходные данные'!$A$4:$G$24,2,FALSE)+E287*VLOOKUP(B287,'Исходные данные'!$A$4:$G$24,3,FALSE)+(1-D287-E287)*VLOOKUP(B287,'Исходные данные'!$A$4:$G$24,4,FALSE)</f>
        <v>0.1910929025197648</v>
      </c>
      <c r="G287" s="40">
        <f t="shared" si="75"/>
        <v>14979124.976334093</v>
      </c>
      <c r="H287" s="21">
        <f t="shared" si="70"/>
        <v>2944474.1110458663</v>
      </c>
      <c r="I287" s="21">
        <f t="shared" si="71"/>
        <v>18353074.18053991</v>
      </c>
      <c r="J287" s="23">
        <f t="shared" si="74"/>
        <v>4804067.7963219387</v>
      </c>
      <c r="K287" s="22">
        <f t="shared" si="72"/>
        <v>2.8203195622241797</v>
      </c>
      <c r="L287" s="22">
        <f>IFERROR((1+K287)/VLOOKUP(B287,'Исходные данные'!$A$4:$G$24,6,FALSE)-1,"")</f>
        <v>-5.6220947467746529E-2</v>
      </c>
      <c r="M287" s="20">
        <f t="shared" si="73"/>
        <v>7.7305486920004496E-2</v>
      </c>
    </row>
    <row r="288" spans="1:13" x14ac:dyDescent="0.25">
      <c r="A288" s="27" t="s">
        <v>49</v>
      </c>
      <c r="B288" s="25">
        <f>'Исходные данные'!$A22</f>
        <v>2022</v>
      </c>
      <c r="C288" s="39">
        <f>IF(AND(Таблица4[[#This Row],[Год]]&gt;=Настройки!$B$4, Таблица4[[#This Row],[Год]]&lt;=Настройки!$B$5),IFERROR(VLOOKUP(Таблица4[[#This Row],[Год]],Данные[#All],9,FALSE),0),0)</f>
        <v>465508.0534760718</v>
      </c>
      <c r="D288" s="19">
        <f>VLOOKUP($A$270,Настройки!$L$2:$N$13,2,FALSE)</f>
        <v>0.9</v>
      </c>
      <c r="E288" s="19">
        <f>VLOOKUP($A$270,Настройки!$L$2:$N$13,3,FALSE)</f>
        <v>0.1</v>
      </c>
      <c r="F288" s="20">
        <f>D288*VLOOKUP(B288,'Исходные данные'!$A$4:$G$24,2,FALSE)+E288*VLOOKUP(B288,'Исходные данные'!$A$4:$G$24,3,FALSE)+(1-D288-E288)*VLOOKUP(B288,'Исходные данные'!$A$4:$G$24,4,FALSE)</f>
        <v>-0.33149459378405671</v>
      </c>
      <c r="G288" s="40">
        <f t="shared" si="75"/>
        <v>18353074.18053991</v>
      </c>
      <c r="H288" s="21">
        <f t="shared" si="70"/>
        <v>-6238258.2732569948</v>
      </c>
      <c r="I288" s="21">
        <f t="shared" si="71"/>
        <v>12580323.960758988</v>
      </c>
      <c r="J288" s="23">
        <f t="shared" si="74"/>
        <v>5269575.8497980107</v>
      </c>
      <c r="K288" s="22">
        <f t="shared" si="72"/>
        <v>1.387350390115593</v>
      </c>
      <c r="L288" s="22">
        <f>IFERROR((1+K288)/VLOOKUP(B288,'Исходные данные'!$A$4:$G$24,6,FALSE)-1,"")</f>
        <v>-0.47313238598252938</v>
      </c>
      <c r="M288" s="20">
        <f t="shared" si="73"/>
        <v>4.6864142474270842E-2</v>
      </c>
    </row>
    <row r="289" spans="1:13" x14ac:dyDescent="0.25">
      <c r="A289" s="27" t="s">
        <v>49</v>
      </c>
      <c r="B289" s="25">
        <f>'Исходные данные'!$A23</f>
        <v>2023</v>
      </c>
      <c r="C289" s="39">
        <f>IF(AND(Таблица4[[#This Row],[Год]]&gt;=Настройки!$B$4, Таблица4[[#This Row],[Год]]&lt;=Настройки!$B$5),IFERROR(VLOOKUP(Таблица4[[#This Row],[Год]],Данные[#All],9,FALSE),0),0)</f>
        <v>521089.71506111475</v>
      </c>
      <c r="D289" s="19">
        <f>VLOOKUP($A$270,Настройки!$L$2:$N$13,2,FALSE)</f>
        <v>0.9</v>
      </c>
      <c r="E289" s="19">
        <f>VLOOKUP($A$270,Настройки!$L$2:$N$13,3,FALSE)</f>
        <v>0.1</v>
      </c>
      <c r="F289" s="20">
        <f>D289*VLOOKUP(B289,'Исходные данные'!$A$4:$G$24,2,FALSE)+E289*VLOOKUP(B289,'Исходные данные'!$A$4:$G$24,3,FALSE)+(1-D289-E289)*VLOOKUP(B289,'Исходные данные'!$A$4:$G$24,4,FALSE)</f>
        <v>0.48527569639410495</v>
      </c>
      <c r="G289" s="40">
        <f t="shared" si="75"/>
        <v>12580323.960758988</v>
      </c>
      <c r="H289" s="21">
        <f t="shared" si="70"/>
        <v>6357797.6452808511</v>
      </c>
      <c r="I289" s="21">
        <f t="shared" si="71"/>
        <v>19459211.321100954</v>
      </c>
      <c r="J289" s="23">
        <f t="shared" si="74"/>
        <v>5790665.5648591258</v>
      </c>
      <c r="K289" s="22">
        <f t="shared" si="72"/>
        <v>2.3604446851826357</v>
      </c>
      <c r="L289" s="22">
        <f>IFERROR((1+K289)/VLOOKUP(B289,'Исходные данные'!$A$4:$G$24,6,FALSE)-1,"")</f>
        <v>-0.30960610563415458</v>
      </c>
      <c r="M289" s="20">
        <f t="shared" si="73"/>
        <v>6.2477734253267192E-2</v>
      </c>
    </row>
    <row r="290" spans="1:13" x14ac:dyDescent="0.25">
      <c r="A290" s="32" t="s">
        <v>49</v>
      </c>
      <c r="B290" s="33">
        <f>'Исходные данные'!$A24</f>
        <v>2024</v>
      </c>
      <c r="C290" s="39">
        <f>IF(AND(Таблица4[[#This Row],[Год]]&gt;=Настройки!$B$4, Таблица4[[#This Row],[Год]]&lt;=Настройки!$B$5),IFERROR(VLOOKUP(Таблица4[[#This Row],[Год]],Данные[#All],9,FALSE),0),0)</f>
        <v>559754.57191864948</v>
      </c>
      <c r="D290" s="34">
        <f>VLOOKUP($A$270,Настройки!$L$2:$N$13,2,FALSE)</f>
        <v>0.9</v>
      </c>
      <c r="E290" s="34">
        <f>VLOOKUP($A$270,Настройки!$L$2:$N$13,3,FALSE)</f>
        <v>0.1</v>
      </c>
      <c r="F290" s="35">
        <f>D290*VLOOKUP(B290,'Исходные данные'!$A$4:$G$24,2,FALSE)+E290*VLOOKUP(B290,'Исходные данные'!$A$4:$G$24,3,FALSE)+(1-D290-E290)*VLOOKUP(B290,'Исходные данные'!$A$4:$G$24,4,FALSE)</f>
        <v>6.0759384972409918E-3</v>
      </c>
      <c r="G290" s="41">
        <f t="shared" si="75"/>
        <v>19459211.321100954</v>
      </c>
      <c r="H290" s="36">
        <f t="shared" si="70"/>
        <v>121634.00554435219</v>
      </c>
      <c r="I290" s="36">
        <f t="shared" si="71"/>
        <v>20140599.898563955</v>
      </c>
      <c r="J290" s="37">
        <f t="shared" si="74"/>
        <v>6350420.1367777754</v>
      </c>
      <c r="K290" s="22">
        <f t="shared" si="72"/>
        <v>2.1715381761785864</v>
      </c>
      <c r="L290" s="22">
        <f>IFERROR((1+K290)/VLOOKUP(B290,'Исходные данные'!$A$4:$G$24,6,FALSE)-1,"")</f>
        <v>-0.40505516414246778</v>
      </c>
      <c r="M290" s="20">
        <f t="shared" si="73"/>
        <v>5.6501206409415028E-2</v>
      </c>
    </row>
  </sheetData>
  <mergeCells count="3">
    <mergeCell ref="A1:M1"/>
    <mergeCell ref="A2:M2"/>
    <mergeCell ref="Q1:U1"/>
  </mergeCells>
  <phoneticPr fontId="10" type="noConversion"/>
  <conditionalFormatting sqref="L6:L26">
    <cfRule type="cellIs" dxfId="247" priority="51" operator="lessThan">
      <formula>0</formula>
    </cfRule>
    <cfRule type="cellIs" dxfId="246" priority="52" operator="greaterThan">
      <formula>0</formula>
    </cfRule>
  </conditionalFormatting>
  <conditionalFormatting sqref="L30:L50">
    <cfRule type="cellIs" dxfId="245" priority="21" operator="lessThan">
      <formula>0</formula>
    </cfRule>
    <cfRule type="cellIs" dxfId="244" priority="22" operator="greaterThan">
      <formula>0</formula>
    </cfRule>
  </conditionalFormatting>
  <conditionalFormatting sqref="L54:L74">
    <cfRule type="cellIs" dxfId="243" priority="19" operator="lessThan">
      <formula>0</formula>
    </cfRule>
    <cfRule type="cellIs" dxfId="242" priority="20" operator="greaterThan">
      <formula>0</formula>
    </cfRule>
  </conditionalFormatting>
  <conditionalFormatting sqref="L78:L98">
    <cfRule type="cellIs" dxfId="241" priority="17" operator="lessThan">
      <formula>0</formula>
    </cfRule>
    <cfRule type="cellIs" dxfId="240" priority="18" operator="greaterThan">
      <formula>0</formula>
    </cfRule>
  </conditionalFormatting>
  <conditionalFormatting sqref="L102:L122">
    <cfRule type="cellIs" dxfId="239" priority="15" operator="lessThan">
      <formula>0</formula>
    </cfRule>
    <cfRule type="cellIs" dxfId="238" priority="16" operator="greaterThan">
      <formula>0</formula>
    </cfRule>
  </conditionalFormatting>
  <conditionalFormatting sqref="L126:L146">
    <cfRule type="cellIs" dxfId="237" priority="13" operator="lessThan">
      <formula>0</formula>
    </cfRule>
    <cfRule type="cellIs" dxfId="236" priority="14" operator="greaterThan">
      <formula>0</formula>
    </cfRule>
  </conditionalFormatting>
  <conditionalFormatting sqref="L150:L170">
    <cfRule type="cellIs" dxfId="235" priority="11" operator="lessThan">
      <formula>0</formula>
    </cfRule>
    <cfRule type="cellIs" dxfId="234" priority="12" operator="greaterThan">
      <formula>0</formula>
    </cfRule>
  </conditionalFormatting>
  <conditionalFormatting sqref="L174:L194">
    <cfRule type="cellIs" dxfId="233" priority="9" operator="lessThan">
      <formula>0</formula>
    </cfRule>
    <cfRule type="cellIs" dxfId="232" priority="10" operator="greaterThan">
      <formula>0</formula>
    </cfRule>
  </conditionalFormatting>
  <conditionalFormatting sqref="L198:L218">
    <cfRule type="cellIs" dxfId="231" priority="7" operator="lessThan">
      <formula>0</formula>
    </cfRule>
    <cfRule type="cellIs" dxfId="230" priority="8" operator="greaterThan">
      <formula>0</formula>
    </cfRule>
  </conditionalFormatting>
  <conditionalFormatting sqref="L222:L242">
    <cfRule type="cellIs" dxfId="229" priority="5" operator="lessThan">
      <formula>0</formula>
    </cfRule>
    <cfRule type="cellIs" dxfId="228" priority="6" operator="greaterThan">
      <formula>0</formula>
    </cfRule>
  </conditionalFormatting>
  <conditionalFormatting sqref="L246:L266">
    <cfRule type="cellIs" dxfId="227" priority="3" operator="lessThan">
      <formula>0</formula>
    </cfRule>
    <cfRule type="cellIs" dxfId="226" priority="4" operator="greaterThan">
      <formula>0</formula>
    </cfRule>
  </conditionalFormatting>
  <conditionalFormatting sqref="L270:L290">
    <cfRule type="cellIs" dxfId="225" priority="1" operator="lessThan">
      <formula>0</formula>
    </cfRule>
    <cfRule type="cellIs" dxfId="224" priority="2" operator="greaterThan">
      <formula>0</formula>
    </cfRule>
  </conditionalFormatting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00B050"/>
  </sheetPr>
  <dimension ref="A1:K21"/>
  <sheetViews>
    <sheetView showGridLines="0" zoomScaleNormal="100" workbookViewId="0">
      <selection activeCell="G37" sqref="G37"/>
    </sheetView>
  </sheetViews>
  <sheetFormatPr defaultRowHeight="15" x14ac:dyDescent="0.25"/>
  <cols>
    <col min="1" max="1" width="18.28515625" bestFit="1" customWidth="1"/>
    <col min="2" max="2" width="19" customWidth="1"/>
    <col min="3" max="3" width="23.7109375" customWidth="1"/>
    <col min="4" max="4" width="19.140625" customWidth="1"/>
    <col min="5" max="5" width="29.5703125" customWidth="1"/>
    <col min="6" max="6" width="25.5703125" customWidth="1"/>
    <col min="7" max="7" width="24.7109375" customWidth="1"/>
    <col min="8" max="8" width="21.42578125" bestFit="1" customWidth="1"/>
    <col min="10" max="10" width="27.85546875" bestFit="1" customWidth="1"/>
    <col min="11" max="11" width="21.7109375" customWidth="1"/>
  </cols>
  <sheetData>
    <row r="1" spans="1:11" ht="21" x14ac:dyDescent="0.35">
      <c r="A1" s="79" t="s">
        <v>88</v>
      </c>
      <c r="B1" s="79"/>
      <c r="C1" s="79"/>
      <c r="D1" s="79" t="s">
        <v>92</v>
      </c>
      <c r="E1" s="79"/>
      <c r="F1" s="79"/>
      <c r="G1" s="80" t="s">
        <v>91</v>
      </c>
      <c r="H1" s="80"/>
      <c r="I1" s="80"/>
      <c r="J1" s="52" t="s">
        <v>87</v>
      </c>
      <c r="K1" s="53">
        <f>MAX(C7:C18)</f>
        <v>20545366.483889993</v>
      </c>
    </row>
    <row r="2" spans="1:11" x14ac:dyDescent="0.25">
      <c r="J2" s="52" t="s">
        <v>88</v>
      </c>
      <c r="K2" s="52" t="str">
        <f>INDEX(A7:A18,MATCH(K1,C7:C18,0))</f>
        <v>Акции 100%</v>
      </c>
    </row>
    <row r="3" spans="1:11" x14ac:dyDescent="0.25">
      <c r="J3" s="52" t="s">
        <v>91</v>
      </c>
      <c r="K3" s="54">
        <f>MAX(G7:G18)</f>
        <v>5.7502729138598108E-2</v>
      </c>
    </row>
    <row r="4" spans="1:11" x14ac:dyDescent="0.25">
      <c r="J4" s="52" t="s">
        <v>89</v>
      </c>
      <c r="K4" s="52" t="str">
        <f>INDEX(A7:A18,MATCH(MIN(C7:C18),C7:C18,0))</f>
        <v>Облигации 100%</v>
      </c>
    </row>
    <row r="5" spans="1:11" x14ac:dyDescent="0.25">
      <c r="J5" s="52" t="s">
        <v>90</v>
      </c>
      <c r="K5" s="53">
        <f>B7</f>
        <v>6350420.1367777754</v>
      </c>
    </row>
    <row r="6" spans="1:11" x14ac:dyDescent="0.25">
      <c r="A6" t="s">
        <v>50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J6" s="43"/>
      <c r="K6" s="43"/>
    </row>
    <row r="7" spans="1:11" x14ac:dyDescent="0.25">
      <c r="A7" t="s">
        <v>7</v>
      </c>
      <c r="B7" s="26">
        <f>'Расчёт всех стратегий'!J26</f>
        <v>6350420.1367777754</v>
      </c>
      <c r="C7" s="18">
        <f>'Расчёт всех стратегий'!I26</f>
        <v>20545366.483889993</v>
      </c>
      <c r="D7" s="18">
        <f>Таблица2[[#This Row],[Итоговый портфель, ₽]] - Таблица2[[#This Row],[Вложено всего, ₽]]</f>
        <v>14194946.347112218</v>
      </c>
      <c r="E7" s="38">
        <f>Таблица2[[#This Row],[Прибыль, ₽]] / Таблица2[[#This Row],[Вложено всего, ₽]]</f>
        <v>2.2352767283700983</v>
      </c>
      <c r="F7" s="15">
        <f>'Расчёт всех стратегий'!L26</f>
        <v>-0.3930985297383166</v>
      </c>
      <c r="G7" s="15">
        <f>( Таблица2[[#This Row],[Итоговый портфель, ₽]] / Таблица2[[#This Row],[Вложено всего, ₽]] ) ^ (1 / 21) - 1</f>
        <v>5.7502729138598108E-2</v>
      </c>
      <c r="J7" s="43"/>
      <c r="K7" s="43"/>
    </row>
    <row r="8" spans="1:11" x14ac:dyDescent="0.25">
      <c r="A8" t="s">
        <v>8</v>
      </c>
      <c r="B8" s="26">
        <f>'Расчёт всех стратегий'!J50</f>
        <v>6350420.1367777754</v>
      </c>
      <c r="C8" s="18">
        <f>'Расчёт всех стратегий'!I50</f>
        <v>10575459.337805733</v>
      </c>
      <c r="D8" s="18">
        <f>Таблица2[[#This Row],[Итоговый портфель, ₽]] - Таблица2[[#This Row],[Вложено всего, ₽]]</f>
        <v>4225039.2010279577</v>
      </c>
      <c r="E8" s="38">
        <f>Таблица2[[#This Row],[Прибыль, ₽]] / Таблица2[[#This Row],[Вложено всего, ₽]]</f>
        <v>0.66531648458329518</v>
      </c>
      <c r="F8" s="15">
        <f>'Расчёт всех стратегий'!L50</f>
        <v>-0.68760538655566794</v>
      </c>
      <c r="G8" s="15">
        <f>( Таблица2[[#This Row],[Итоговый портфель, ₽]] / Таблица2[[#This Row],[Вложено всего, ₽]] ) ^ (1 / 21) - 1</f>
        <v>2.4583755008832808E-2</v>
      </c>
      <c r="J8" s="43"/>
      <c r="K8" s="43"/>
    </row>
    <row r="9" spans="1:11" x14ac:dyDescent="0.25">
      <c r="A9" t="s">
        <v>6</v>
      </c>
      <c r="B9" s="26">
        <f>'Расчёт всех стратегий'!J74</f>
        <v>6350420.1367777754</v>
      </c>
      <c r="C9" s="18">
        <f>'Расчёт всех стратегий'!I74</f>
        <v>13863146.903539604</v>
      </c>
      <c r="D9" s="18">
        <f>Таблица2[[#This Row],[Итоговый портфель, ₽]] - Таблица2[[#This Row],[Вложено всего, ₽]]</f>
        <v>7512726.7667618282</v>
      </c>
      <c r="E9" s="38">
        <f>Таблица2[[#This Row],[Прибыль, ₽]] / Таблица2[[#This Row],[Вложено всего, ₽]]</f>
        <v>1.1830283044192114</v>
      </c>
      <c r="F9" s="15">
        <f>'Расчёт всех стратегий'!L74</f>
        <v>-0.59048848095218343</v>
      </c>
      <c r="G9" s="15">
        <f>( Таблица2[[#This Row],[Итоговый портфель, ₽]] / Таблица2[[#This Row],[Вложено всего, ₽]] ) ^ (1 / 21) - 1</f>
        <v>3.7876513208925155E-2</v>
      </c>
      <c r="J9" s="43"/>
      <c r="K9" s="43"/>
    </row>
    <row r="10" spans="1:11" x14ac:dyDescent="0.25">
      <c r="A10" t="s">
        <v>41</v>
      </c>
      <c r="B10" s="26">
        <f>'Расчёт всех стратегий'!J98</f>
        <v>6350420.1367777754</v>
      </c>
      <c r="C10" s="18">
        <f>'Расчёт всех стратегий'!I98</f>
        <v>16523305.25040454</v>
      </c>
      <c r="D10" s="18">
        <f>Таблица2[[#This Row],[Итоговый портфель, ₽]] - Таблица2[[#This Row],[Вложено всего, ₽]]</f>
        <v>10172885.113626765</v>
      </c>
      <c r="E10" s="38">
        <f>Таблица2[[#This Row],[Прибыль, ₽]] / Таблица2[[#This Row],[Вложено всего, ₽]]</f>
        <v>1.6019231632741264</v>
      </c>
      <c r="F10" s="15">
        <f>'Расчёт всех стратегий'!L98</f>
        <v>-0.51190852409879062</v>
      </c>
      <c r="G10" s="15">
        <f>( Таблица2[[#This Row],[Итоговый портфель, ₽]] / Таблица2[[#This Row],[Вложено всего, ₽]] ) ^ (1 / 21) - 1</f>
        <v>4.6588424454075739E-2</v>
      </c>
      <c r="J10" s="43"/>
      <c r="K10" s="43"/>
    </row>
    <row r="11" spans="1:11" x14ac:dyDescent="0.25">
      <c r="A11" t="s">
        <v>42</v>
      </c>
      <c r="B11" s="26">
        <f>'Расчёт всех стратегий'!J122</f>
        <v>6350420.1367777754</v>
      </c>
      <c r="C11" s="18">
        <f>'Расчёт всех стратегий'!I122</f>
        <v>11727811.170038018</v>
      </c>
      <c r="D11" s="18">
        <f>Таблица2[[#This Row],[Итоговый портфель, ₽]] - Таблица2[[#This Row],[Вложено всего, ₽]]</f>
        <v>5377391.033260243</v>
      </c>
      <c r="E11" s="38">
        <f>Таблица2[[#This Row],[Прибыль, ₽]] / Таблица2[[#This Row],[Вложено всего, ₽]]</f>
        <v>0.846777208033475</v>
      </c>
      <c r="F11" s="15">
        <f>'Расчёт всех стратегий'!L122</f>
        <v>-0.65356539891227872</v>
      </c>
      <c r="G11" s="15">
        <f>( Таблица2[[#This Row],[Итоговый портфель, ₽]] / Таблица2[[#This Row],[Вложено всего, ₽]] ) ^ (1 / 21) - 1</f>
        <v>2.9642368762195836E-2</v>
      </c>
      <c r="J11" s="43"/>
      <c r="K11" s="43"/>
    </row>
    <row r="12" spans="1:11" x14ac:dyDescent="0.25">
      <c r="A12" t="s">
        <v>43</v>
      </c>
      <c r="B12" s="26">
        <f>'Расчёт всех стратегий'!J146</f>
        <v>6350420.1367777754</v>
      </c>
      <c r="C12" s="18">
        <f>'Расчёт всех стратегий'!I146</f>
        <v>12920586.681563182</v>
      </c>
      <c r="D12" s="18">
        <f>Таблица2[[#This Row],[Итоговый портфель, ₽]] - Таблица2[[#This Row],[Вложено всего, ₽]]</f>
        <v>6570166.5447854064</v>
      </c>
      <c r="E12" s="38">
        <f>Таблица2[[#This Row],[Прибыль, ₽]] / Таблица2[[#This Row],[Вложено всего, ₽]]</f>
        <v>1.0346034440674237</v>
      </c>
      <c r="F12" s="15">
        <f>'Расчёт всех стратегий'!L146</f>
        <v>-0.61833131281289599</v>
      </c>
      <c r="G12" s="15">
        <f>( Таблица2[[#This Row],[Итоговый портфель, ₽]] / Таблица2[[#This Row],[Вложено всего, ₽]] ) ^ (1 / 21) - 1</f>
        <v>3.4402384744934844E-2</v>
      </c>
      <c r="J12" s="43"/>
      <c r="K12" s="43"/>
    </row>
    <row r="13" spans="1:11" x14ac:dyDescent="0.25">
      <c r="A13" t="s">
        <v>86</v>
      </c>
      <c r="B13" s="26">
        <f>'Расчёт всех стратегий'!J170</f>
        <v>6350420.1367777754</v>
      </c>
      <c r="C13" s="18">
        <f>'Расчёт всех стратегий'!I170</f>
        <v>14134529.437026683</v>
      </c>
      <c r="D13" s="18">
        <f>Таблица2[[#This Row],[Итоговый портфель, ₽]] - Таблица2[[#This Row],[Вложено всего, ₽]]</f>
        <v>7784109.3002489079</v>
      </c>
      <c r="E13" s="38">
        <f>Таблица2[[#This Row],[Прибыль, ₽]] / Таблица2[[#This Row],[Вложено всего, ₽]]</f>
        <v>1.2257628838079666</v>
      </c>
      <c r="F13" s="15">
        <f>'Расчёт всех стратегий'!L170</f>
        <v>-0.58247195524524131</v>
      </c>
      <c r="G13" s="15">
        <f>( Таблица2[[#This Row],[Итоговый портфель, ₽]] / Таблица2[[#This Row],[Вложено всего, ₽]] ) ^ (1 / 21) - 1</f>
        <v>3.883509764026094E-2</v>
      </c>
      <c r="J13" s="43"/>
      <c r="K13" s="43"/>
    </row>
    <row r="14" spans="1:11" x14ac:dyDescent="0.25">
      <c r="A14" t="s">
        <v>45</v>
      </c>
      <c r="B14" s="26">
        <f>'Расчёт всех стратегий'!J194</f>
        <v>6350420.1367777754</v>
      </c>
      <c r="C14" s="18">
        <f>'Расчёт всех стратегий'!I194</f>
        <v>15345304.798581369</v>
      </c>
      <c r="D14" s="18">
        <f>Таблица2[[#This Row],[Итоговый портфель, ₽]] - Таблица2[[#This Row],[Вложено всего, ₽]]</f>
        <v>8994884.6618035939</v>
      </c>
      <c r="E14" s="38">
        <f>Таблица2[[#This Row],[Прибыль, ₽]] / Таблица2[[#This Row],[Вложено всего, ₽]]</f>
        <v>1.4164235543583465</v>
      </c>
      <c r="F14" s="15">
        <f>'Расчёт всех стратегий'!L194</f>
        <v>-0.54670616115924409</v>
      </c>
      <c r="G14" s="15">
        <f>( Таблица2[[#This Row],[Итоговый портфель, ₽]] / Таблица2[[#This Row],[Вложено всего, ₽]] ) ^ (1 / 21) - 1</f>
        <v>4.2908810053949642E-2</v>
      </c>
      <c r="J14" s="43"/>
      <c r="K14" s="43"/>
    </row>
    <row r="15" spans="1:11" x14ac:dyDescent="0.25">
      <c r="A15" t="s">
        <v>46</v>
      </c>
      <c r="B15" s="26">
        <f>'Расчёт всех стратегий'!J218</f>
        <v>6350420.1367777754</v>
      </c>
      <c r="C15" s="18">
        <f>'Расчёт всех стратегий'!I218</f>
        <v>17633674.229687437</v>
      </c>
      <c r="D15" s="18">
        <f>Таблица2[[#This Row],[Итоговый портфель, ₽]] - Таблица2[[#This Row],[Вложено всего, ₽]]</f>
        <v>11283254.092909662</v>
      </c>
      <c r="E15" s="38">
        <f>Таблица2[[#This Row],[Прибыль, ₽]] / Таблица2[[#This Row],[Вложено всего, ₽]]</f>
        <v>1.7767728512266314</v>
      </c>
      <c r="F15" s="15">
        <f>'Расчёт всех стратегий'!L218</f>
        <v>-0.47910869224433505</v>
      </c>
      <c r="G15" s="15">
        <f>( Таблица2[[#This Row],[Итоговый портфель, ₽]] / Таблица2[[#This Row],[Вложено всего, ₽]] ) ^ (1 / 21) - 1</f>
        <v>4.9834811043341753E-2</v>
      </c>
      <c r="J15" s="43"/>
      <c r="K15" s="43"/>
    </row>
    <row r="16" spans="1:11" x14ac:dyDescent="0.25">
      <c r="A16" t="s">
        <v>47</v>
      </c>
      <c r="B16" s="26">
        <f>'Расчёт всех стратегий'!J242</f>
        <v>6350420.1367777754</v>
      </c>
      <c r="C16" s="18">
        <f>'Расчёт всех стратегий'!I242</f>
        <v>18636611.01465055</v>
      </c>
      <c r="D16" s="18">
        <f>Таблица2[[#This Row],[Итоговый портфель, ₽]] - Таблица2[[#This Row],[Вложено всего, ₽]]</f>
        <v>12286190.877872774</v>
      </c>
      <c r="E16" s="38">
        <f>Таблица2[[#This Row],[Прибыль, ₽]] / Таблица2[[#This Row],[Вложено всего, ₽]]</f>
        <v>1.9347052026870821</v>
      </c>
      <c r="F16" s="15">
        <f>'Расчёт всех стратегий'!L242</f>
        <v>-0.44948236214937576</v>
      </c>
      <c r="G16" s="15">
        <f>( Таблица2[[#This Row],[Итоговый портфель, ₽]] / Таблица2[[#This Row],[Вложено всего, ₽]] ) ^ (1 / 21) - 1</f>
        <v>5.2603901320383839E-2</v>
      </c>
      <c r="J16" s="43"/>
      <c r="K16" s="43"/>
    </row>
    <row r="17" spans="1:11" x14ac:dyDescent="0.25">
      <c r="A17" t="s">
        <v>48</v>
      </c>
      <c r="B17" s="26">
        <f>'Расчёт всех стратегий'!J266</f>
        <v>6350420.1367777754</v>
      </c>
      <c r="C17" s="18">
        <f>'Расчёт всех стратегий'!I266</f>
        <v>19488023.668311793</v>
      </c>
      <c r="D17" s="18">
        <f>Таблица2[[#This Row],[Итоговый портфель, ₽]] - Таблица2[[#This Row],[Вложено всего, ₽]]</f>
        <v>13137603.531534018</v>
      </c>
      <c r="E17" s="38">
        <f>Таблица2[[#This Row],[Прибыль, ₽]] / Таблица2[[#This Row],[Вложено всего, ₽]]</f>
        <v>2.0687770649140202</v>
      </c>
      <c r="F17" s="15">
        <f>'Расчёт всех стратегий'!L266</f>
        <v>-0.42433199105662445</v>
      </c>
      <c r="G17" s="15">
        <f>( Таблица2[[#This Row],[Итоговый портфель, ₽]] / Таблица2[[#This Row],[Вложено всего, ₽]] ) ^ (1 / 21) - 1</f>
        <v>5.4845430039398568E-2</v>
      </c>
      <c r="J17" s="43"/>
      <c r="K17" s="43"/>
    </row>
    <row r="18" spans="1:11" x14ac:dyDescent="0.25">
      <c r="A18" t="s">
        <v>49</v>
      </c>
      <c r="B18" s="26">
        <f>'Расчёт всех стратегий'!J290</f>
        <v>6350420.1367777754</v>
      </c>
      <c r="C18" s="18">
        <f>'Расчёт всех стратегий'!I290</f>
        <v>20140599.898563955</v>
      </c>
      <c r="D18" s="18">
        <f>Таблица2[[#This Row],[Итоговый портфель, ₽]] - Таблица2[[#This Row],[Вложено всего, ₽]]</f>
        <v>13790179.76178618</v>
      </c>
      <c r="E18" s="38">
        <f>Таблица2[[#This Row],[Прибыль, ₽]] / Таблица2[[#This Row],[Вложено всего, ₽]]</f>
        <v>2.1715381761785864</v>
      </c>
      <c r="F18" s="15">
        <f>'Расчёт всех стратегий'!L290</f>
        <v>-0.40505516414246778</v>
      </c>
      <c r="G18" s="15">
        <f>( Таблица2[[#This Row],[Итоговый портфель, ₽]] / Таблица2[[#This Row],[Вложено всего, ₽]] ) ^ (1 / 21) - 1</f>
        <v>5.6501206409415028E-2</v>
      </c>
      <c r="J18" s="43"/>
      <c r="K18" s="43"/>
    </row>
    <row r="19" spans="1:11" x14ac:dyDescent="0.25">
      <c r="J19" s="43"/>
      <c r="K19" s="43"/>
    </row>
    <row r="20" spans="1:11" x14ac:dyDescent="0.25">
      <c r="A20" s="81" t="str">
        <f>"По итогам расчётов с "&amp;Настройки!B4&amp;" по "&amp;Настройки!B5&amp;" год лучшей стратегией стала «"&amp;K2&amp;"» с итоговым капиталом "&amp;TEXT(K1,"# ##0 ₽")&amp;" и среднегодовой доходностью "&amp;TEXT(K3,"0,00%")&amp;". Разница между лучшей и худшей стратегией составила "&amp;TEXT(MAX(C7:C18)-MIN(C7:C18),"# ##0 ₽")&amp;". Всего за период было вложено "&amp;TEXT(B7,"# ##0 ₽")&amp;"."</f>
        <v>По итогам расчётов с 2004 по 2024 год лучшей стратегией стала «Акции 100%» с итоговым капиталом 20 545 366 ₽ и среднегодовой доходностью 5,75%. Разница между лучшей и худшей стратегией составила 9 969 907 ₽. Всего за период было вложено 6 350 420 ₽.</v>
      </c>
      <c r="B20" s="81"/>
      <c r="C20" s="81"/>
      <c r="D20" s="81"/>
      <c r="E20" s="81"/>
      <c r="F20" s="81"/>
      <c r="G20" s="81"/>
      <c r="H20" s="81"/>
      <c r="J20" s="43"/>
      <c r="K20" s="43"/>
    </row>
    <row r="21" spans="1:11" x14ac:dyDescent="0.25">
      <c r="A21" s="81"/>
      <c r="B21" s="81"/>
      <c r="C21" s="81"/>
      <c r="D21" s="81"/>
      <c r="E21" s="81"/>
      <c r="F21" s="81"/>
      <c r="G21" s="81"/>
      <c r="H21" s="81"/>
    </row>
  </sheetData>
  <mergeCells count="4">
    <mergeCell ref="A1:C1"/>
    <mergeCell ref="D1:F1"/>
    <mergeCell ref="G1:I1"/>
    <mergeCell ref="A20:H21"/>
  </mergeCells>
  <conditionalFormatting sqref="D7:D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{909ED425-B9D9-4DC0-9752-F34DA7163BD1}</x14:id>
        </ext>
      </extLst>
    </cfRule>
  </conditionalFormatting>
  <conditionalFormatting sqref="F7:F18">
    <cfRule type="colorScale" priority="5">
      <colorScale>
        <cfvo type="min"/>
        <cfvo type="percentile" val="50"/>
        <cfvo type="max"/>
        <color rgb="FFFF0000"/>
        <color rgb="FFFFEB84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:G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9ED425-B9D9-4DC0-9752-F34DA7163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D7:D18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FC12998-48C2-4604-A024-C154AF9333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стратегий'!I270:I290</xm:f>
              <xm:sqref>H18</xm:sqref>
            </x14:sparkline>
          </x14:sparklines>
        </x14:sparklineGroup>
        <x14:sparklineGroup displayEmptyCellsAs="gap" xr2:uid="{B71DCF64-57BB-4506-A95D-1CAEDF23E3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стратегий'!I246:I266</xm:f>
              <xm:sqref>H17</xm:sqref>
            </x14:sparkline>
          </x14:sparklines>
        </x14:sparklineGroup>
        <x14:sparklineGroup displayEmptyCellsAs="gap" xr2:uid="{AEBCA402-5856-4F65-B51D-14E7D2418A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стратегий'!I222:I242</xm:f>
              <xm:sqref>H16</xm:sqref>
            </x14:sparkline>
          </x14:sparklines>
        </x14:sparklineGroup>
        <x14:sparklineGroup displayEmptyCellsAs="gap" xr2:uid="{EABDB50B-677B-4F78-8603-748C61C5F3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стратегий'!I198:I218</xm:f>
              <xm:sqref>H15</xm:sqref>
            </x14:sparkline>
          </x14:sparklines>
        </x14:sparklineGroup>
        <x14:sparklineGroup displayEmptyCellsAs="gap" xr2:uid="{E26A1058-F00E-42A7-881A-F53C56C97B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стратегий'!I174:I194</xm:f>
              <xm:sqref>H14</xm:sqref>
            </x14:sparkline>
          </x14:sparklines>
        </x14:sparklineGroup>
        <x14:sparklineGroup displayEmptyCellsAs="gap" xr2:uid="{8BEF069F-09D9-4D95-B4E7-30E7B6F0B0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стратегий'!I150:I170</xm:f>
              <xm:sqref>H13</xm:sqref>
            </x14:sparkline>
          </x14:sparklines>
        </x14:sparklineGroup>
        <x14:sparklineGroup displayEmptyCellsAs="gap" xr2:uid="{700BF804-65C6-4391-82C6-A23F8176EC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стратегий'!I126:I146</xm:f>
              <xm:sqref>H12</xm:sqref>
            </x14:sparkline>
          </x14:sparklines>
        </x14:sparklineGroup>
        <x14:sparklineGroup displayEmptyCellsAs="gap" xr2:uid="{DD5BAB6A-8AC3-4525-903A-0D72CA1F43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стратегий'!I102:I122</xm:f>
              <xm:sqref>H11</xm:sqref>
            </x14:sparkline>
          </x14:sparklines>
        </x14:sparklineGroup>
        <x14:sparklineGroup displayEmptyCellsAs="gap" xr2:uid="{CFEB383A-B0A8-41E1-A3CD-0ED70F4770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стратегий'!I78:I98</xm:f>
              <xm:sqref>H10</xm:sqref>
            </x14:sparkline>
          </x14:sparklines>
        </x14:sparklineGroup>
        <x14:sparklineGroup displayEmptyCellsAs="gap" xr2:uid="{48A2575B-9C0E-472D-B215-F0090FEC27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стратегий'!I54:I74</xm:f>
              <xm:sqref>H9</xm:sqref>
            </x14:sparkline>
          </x14:sparklines>
        </x14:sparklineGroup>
        <x14:sparklineGroup displayEmptyCellsAs="gap" xr2:uid="{A95828A5-C98E-4DFC-8DFB-1A02E9F214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стратегий'!I30:I50</xm:f>
              <xm:sqref>H8</xm:sqref>
            </x14:sparkline>
          </x14:sparklines>
        </x14:sparklineGroup>
        <x14:sparklineGroup displayEmptyCellsAs="gap" xr2:uid="{EEC58E2C-439C-44C2-9AF0-9E382196D2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'Расчёт всех стратегий'!I6:I26</xm:f>
              <xm:sqref>H7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theme="5" tint="-0.249977111117893"/>
  </sheetPr>
  <dimension ref="A1:Z6"/>
  <sheetViews>
    <sheetView showGridLines="0" zoomScaleNormal="100" workbookViewId="0">
      <selection activeCell="AG34" sqref="AG34"/>
    </sheetView>
  </sheetViews>
  <sheetFormatPr defaultRowHeight="15" x14ac:dyDescent="0.25"/>
  <cols>
    <col min="1" max="26" width="3.7109375" customWidth="1"/>
  </cols>
  <sheetData>
    <row r="1" spans="1:26" ht="39.75" customHeight="1" x14ac:dyDescent="0.4">
      <c r="A1" s="100" t="str">
        <f>"DCA-стратегии на рынке РФ: "&amp;Настройки!B4&amp;"–"&amp;Настройки!B5</f>
        <v>DCA-стратегии на рынке РФ: 2004–2024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3" spans="1:26" x14ac:dyDescent="0.25">
      <c r="B3" s="48"/>
      <c r="C3" s="101" t="s">
        <v>74</v>
      </c>
      <c r="D3" s="102"/>
      <c r="E3" s="102"/>
      <c r="F3" s="103"/>
      <c r="I3" s="88" t="s">
        <v>92</v>
      </c>
      <c r="J3" s="89"/>
      <c r="K3" s="89"/>
      <c r="L3" s="90"/>
      <c r="O3" s="88" t="s">
        <v>88</v>
      </c>
      <c r="P3" s="89"/>
      <c r="Q3" s="89"/>
      <c r="R3" s="90"/>
      <c r="U3" s="88" t="s">
        <v>96</v>
      </c>
      <c r="V3" s="89"/>
      <c r="W3" s="89"/>
      <c r="X3" s="90"/>
    </row>
    <row r="4" spans="1:26" x14ac:dyDescent="0.25">
      <c r="B4" s="48"/>
      <c r="C4" s="104"/>
      <c r="D4" s="105"/>
      <c r="E4" s="105"/>
      <c r="F4" s="106"/>
      <c r="I4" s="91"/>
      <c r="J4" s="92"/>
      <c r="K4" s="92"/>
      <c r="L4" s="93"/>
      <c r="O4" s="91"/>
      <c r="P4" s="92"/>
      <c r="Q4" s="92"/>
      <c r="R4" s="93"/>
      <c r="U4" s="91"/>
      <c r="V4" s="92"/>
      <c r="W4" s="92"/>
      <c r="X4" s="93"/>
    </row>
    <row r="5" spans="1:26" x14ac:dyDescent="0.25">
      <c r="B5" s="49"/>
      <c r="C5" s="82">
        <f>Итоги!K5</f>
        <v>6350420.1367777754</v>
      </c>
      <c r="D5" s="83"/>
      <c r="E5" s="83"/>
      <c r="F5" s="84"/>
      <c r="I5" s="82">
        <f>MAX(Итоги!C7:C18)</f>
        <v>20545366.483889993</v>
      </c>
      <c r="J5" s="83"/>
      <c r="K5" s="83"/>
      <c r="L5" s="84"/>
      <c r="O5" s="82" t="str">
        <f>INDEX(Итоги!A7:A18,MATCH(MAX(Итоги!C7:C18),Итоги!C7:C18,0))</f>
        <v>Акции 100%</v>
      </c>
      <c r="P5" s="83"/>
      <c r="Q5" s="83"/>
      <c r="R5" s="84"/>
      <c r="U5" s="94">
        <f>'Исходные данные'!F24-1</f>
        <v>4.3308104970896073</v>
      </c>
      <c r="V5" s="95"/>
      <c r="W5" s="95"/>
      <c r="X5" s="96"/>
    </row>
    <row r="6" spans="1:26" x14ac:dyDescent="0.25">
      <c r="B6" s="48"/>
      <c r="C6" s="85"/>
      <c r="D6" s="86"/>
      <c r="E6" s="86"/>
      <c r="F6" s="87"/>
      <c r="I6" s="85"/>
      <c r="J6" s="86"/>
      <c r="K6" s="86"/>
      <c r="L6" s="87"/>
      <c r="O6" s="85"/>
      <c r="P6" s="86"/>
      <c r="Q6" s="86"/>
      <c r="R6" s="87"/>
      <c r="U6" s="97"/>
      <c r="V6" s="98"/>
      <c r="W6" s="98"/>
      <c r="X6" s="99"/>
    </row>
  </sheetData>
  <mergeCells count="9">
    <mergeCell ref="O5:R6"/>
    <mergeCell ref="U3:X4"/>
    <mergeCell ref="U5:X6"/>
    <mergeCell ref="A1:Z1"/>
    <mergeCell ref="C3:F4"/>
    <mergeCell ref="C5:F6"/>
    <mergeCell ref="I3:L4"/>
    <mergeCell ref="I5:L6"/>
    <mergeCell ref="O3:R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7030A0"/>
  </sheetPr>
  <dimension ref="A1:P43"/>
  <sheetViews>
    <sheetView showGridLines="0" workbookViewId="0">
      <selection activeCell="P47" sqref="P47"/>
    </sheetView>
  </sheetViews>
  <sheetFormatPr defaultRowHeight="15" x14ac:dyDescent="0.25"/>
  <cols>
    <col min="1" max="1" width="30.85546875" bestFit="1" customWidth="1"/>
    <col min="2" max="2" width="44" customWidth="1"/>
    <col min="3" max="3" width="9.140625" customWidth="1"/>
    <col min="13" max="13" width="9.140625" style="44"/>
    <col min="14" max="14" width="18" style="44" customWidth="1"/>
    <col min="15" max="15" width="20.140625" style="44" bestFit="1" customWidth="1"/>
    <col min="16" max="16" width="17.28515625" style="44" bestFit="1" customWidth="1"/>
  </cols>
  <sheetData>
    <row r="1" spans="1:16" ht="21" x14ac:dyDescent="0.35">
      <c r="A1" s="75" t="s">
        <v>60</v>
      </c>
      <c r="B1" s="75"/>
      <c r="C1" s="75"/>
      <c r="D1" s="75"/>
      <c r="E1" s="75"/>
      <c r="M1" s="73" t="s">
        <v>10</v>
      </c>
      <c r="N1" s="73" t="s">
        <v>65</v>
      </c>
      <c r="O1" s="73" t="s">
        <v>75</v>
      </c>
      <c r="P1" s="73" t="s">
        <v>76</v>
      </c>
    </row>
    <row r="2" spans="1:16" x14ac:dyDescent="0.25">
      <c r="A2" s="77" t="s">
        <v>61</v>
      </c>
      <c r="B2" s="77"/>
      <c r="C2" s="77"/>
      <c r="D2" s="77"/>
      <c r="E2" s="77"/>
      <c r="M2" s="70">
        <f>IF($B$6&gt;=1, 1, "")</f>
        <v>1</v>
      </c>
      <c r="N2" s="71">
        <f>IF(M2&gt;$B$6,"",$B$3)</f>
        <v>100000</v>
      </c>
      <c r="O2" s="72">
        <f>IF(M2&gt;$B$6,"",$B$3)</f>
        <v>100000</v>
      </c>
      <c r="P2" s="72">
        <f>IF(OR(M3&gt;$B$6,$B$8="Нет"),"",O3/(1+$B$9)^M3)</f>
        <v>473100.24710845837</v>
      </c>
    </row>
    <row r="3" spans="1:16" x14ac:dyDescent="0.25">
      <c r="A3" s="62" t="s">
        <v>65</v>
      </c>
      <c r="B3" s="63">
        <v>100000</v>
      </c>
      <c r="M3" s="70">
        <f>IF(M2="", "", IF(M2&gt;=$B$6, "", M2+1))</f>
        <v>2</v>
      </c>
      <c r="N3" s="71">
        <f>IF(M3&gt;$B$6,"",$B$3)</f>
        <v>100000</v>
      </c>
      <c r="O3" s="72">
        <f>IF(M3&gt;$B$6,"", IF($B$7="Да", FV($B$5/12,M3*12,-$B$4,-$B$3,0), $B$3+($B$4*12*M3)+($B$3*$B$5*M3)))</f>
        <v>531575.4376510639</v>
      </c>
      <c r="P3" s="72">
        <f>IF(OR(M3&gt;$B$6,$B$8="Нет"),"",O3/(1+$B$9)^M3)</f>
        <v>473100.24710845837</v>
      </c>
    </row>
    <row r="4" spans="1:16" x14ac:dyDescent="0.25">
      <c r="A4" s="62" t="s">
        <v>62</v>
      </c>
      <c r="B4" s="63">
        <v>15000</v>
      </c>
      <c r="M4" s="70">
        <f t="shared" ref="M4:M43" si="0">IF(M3="", "", IF(M3&gt;=$B$6, "", M3+1))</f>
        <v>3</v>
      </c>
      <c r="N4" s="71">
        <f>IF(M4&gt;$B$6,"",$B$3)</f>
        <v>100000</v>
      </c>
      <c r="O4" s="72">
        <f t="shared" ref="O4:O41" si="1">IF(M4&gt;$B$6,"", IF($B$7="Да", FV($B$5/12,M4*12,-$B$4,-$B$3,0), $B$3+($B$4*12*M4)+($B$3*$B$5*M4)))</f>
        <v>789230.05374652962</v>
      </c>
      <c r="P4" s="72">
        <f t="shared" ref="P4:P41" si="2">IF(OR(M4&gt;$B$6,$B$8="Нет"),"",O4/(1+$B$9)^M4)</f>
        <v>662652.77187420602</v>
      </c>
    </row>
    <row r="5" spans="1:16" x14ac:dyDescent="0.25">
      <c r="A5" s="62" t="s">
        <v>63</v>
      </c>
      <c r="B5" s="64">
        <v>0.12</v>
      </c>
      <c r="M5" s="70">
        <f t="shared" si="0"/>
        <v>4</v>
      </c>
      <c r="N5" s="71">
        <f t="shared" ref="N5:N41" si="3">IF(M5&gt;$B$6,"",$B$3)</f>
        <v>100000</v>
      </c>
      <c r="O5" s="72">
        <f t="shared" si="1"/>
        <v>1079561.7242919444</v>
      </c>
      <c r="P5" s="72">
        <f t="shared" si="2"/>
        <v>855114.00088596006</v>
      </c>
    </row>
    <row r="6" spans="1:16" x14ac:dyDescent="0.25">
      <c r="A6" s="65" t="s">
        <v>64</v>
      </c>
      <c r="B6" s="66">
        <v>20</v>
      </c>
      <c r="M6" s="70">
        <f t="shared" si="0"/>
        <v>5</v>
      </c>
      <c r="N6" s="71">
        <f t="shared" si="3"/>
        <v>100000</v>
      </c>
      <c r="O6" s="72">
        <f t="shared" si="1"/>
        <v>1406714.7177025459</v>
      </c>
      <c r="P6" s="72">
        <f>IF(OR(M6&gt;$B$6,$B$8="Нет"),"",O6/(1+$B$9)^M6)</f>
        <v>1051179.0696941954</v>
      </c>
    </row>
    <row r="7" spans="1:16" x14ac:dyDescent="0.25">
      <c r="A7" s="62" t="s">
        <v>66</v>
      </c>
      <c r="B7" s="62" t="s">
        <v>67</v>
      </c>
      <c r="M7" s="70">
        <f t="shared" si="0"/>
        <v>6</v>
      </c>
      <c r="N7" s="71">
        <f t="shared" si="3"/>
        <v>100000</v>
      </c>
      <c r="O7" s="72">
        <f>IF(M7&gt;$B$6,"", IF($B$7="Да", FV($B$5/12,M7*12,-$B$4,-$B$3,0), $B$3+($B$4*12*M7)+($B$3*$B$5*M7)))</f>
        <v>1775358.8993602123</v>
      </c>
      <c r="P7" s="72">
        <f>IF(OR(M7&gt;$B$6,$B$8="Нет"),"",O7/(1+$B$9)^M7)</f>
        <v>1251557.9691673641</v>
      </c>
    </row>
    <row r="8" spans="1:16" x14ac:dyDescent="0.25">
      <c r="A8" s="62" t="s">
        <v>68</v>
      </c>
      <c r="B8" s="62" t="s">
        <v>67</v>
      </c>
      <c r="M8" s="70">
        <f t="shared" si="0"/>
        <v>7</v>
      </c>
      <c r="N8" s="71">
        <f t="shared" si="3"/>
        <v>100000</v>
      </c>
      <c r="O8" s="72">
        <f t="shared" si="1"/>
        <v>2190756.3904645867</v>
      </c>
      <c r="P8" s="72">
        <f t="shared" si="2"/>
        <v>1456978.1216920654</v>
      </c>
    </row>
    <row r="9" spans="1:16" x14ac:dyDescent="0.25">
      <c r="A9" s="62" t="s">
        <v>69</v>
      </c>
      <c r="B9" s="67">
        <v>0.06</v>
      </c>
      <c r="M9" s="70">
        <f t="shared" si="0"/>
        <v>8</v>
      </c>
      <c r="N9" s="71">
        <f t="shared" si="3"/>
        <v>100000</v>
      </c>
      <c r="O9" s="72">
        <f t="shared" si="1"/>
        <v>2658836.6808950179</v>
      </c>
      <c r="P9" s="72">
        <f t="shared" si="2"/>
        <v>1668187.0269709744</v>
      </c>
    </row>
    <row r="10" spans="1:16" x14ac:dyDescent="0.25">
      <c r="M10" s="70">
        <f t="shared" si="0"/>
        <v>9</v>
      </c>
      <c r="N10" s="71">
        <f t="shared" si="3"/>
        <v>100000</v>
      </c>
      <c r="O10" s="72">
        <f t="shared" si="1"/>
        <v>3186281.2682634704</v>
      </c>
      <c r="P10" s="72">
        <f t="shared" si="2"/>
        <v>1885954.9870596475</v>
      </c>
    </row>
    <row r="11" spans="1:16" ht="21" x14ac:dyDescent="0.35">
      <c r="A11" s="107" t="s">
        <v>70</v>
      </c>
      <c r="B11" s="107"/>
      <c r="C11" s="107"/>
      <c r="D11" s="107"/>
      <c r="E11" s="107"/>
      <c r="M11" s="70">
        <f t="shared" si="0"/>
        <v>10</v>
      </c>
      <c r="N11" s="71">
        <f t="shared" si="3"/>
        <v>100000</v>
      </c>
      <c r="O11" s="72">
        <f t="shared" si="1"/>
        <v>3780619.031317872</v>
      </c>
      <c r="P11" s="72">
        <f t="shared" si="2"/>
        <v>2111077.9205937921</v>
      </c>
    </row>
    <row r="12" spans="1:16" x14ac:dyDescent="0.25">
      <c r="A12" s="62" t="s">
        <v>74</v>
      </c>
      <c r="B12" s="63">
        <f>(B3+(B4*12*B6))</f>
        <v>3700000</v>
      </c>
      <c r="M12" s="70">
        <f t="shared" si="0"/>
        <v>11</v>
      </c>
      <c r="N12" s="71">
        <f t="shared" si="3"/>
        <v>100000</v>
      </c>
      <c r="O12" s="72">
        <f t="shared" si="1"/>
        <v>4450333.6990802139</v>
      </c>
      <c r="P12" s="72">
        <f t="shared" si="2"/>
        <v>2344380.2765054028</v>
      </c>
    </row>
    <row r="13" spans="1:16" x14ac:dyDescent="0.25">
      <c r="A13" s="62" t="s">
        <v>71</v>
      </c>
      <c r="B13" s="63">
        <f>IF(B7="Да", FV(B5/12, B6*12, -B4, -B3, 0), B3 + (B4*12*B6) + (B3*B5*B6))</f>
        <v>15928085.846197808</v>
      </c>
      <c r="M13" s="70">
        <f t="shared" si="0"/>
        <v>12</v>
      </c>
      <c r="N13" s="71">
        <f t="shared" si="3"/>
        <v>100000</v>
      </c>
      <c r="O13" s="72">
        <f t="shared" si="1"/>
        <v>5204984.9497613376</v>
      </c>
      <c r="P13" s="72">
        <f t="shared" si="2"/>
        <v>2586718.0579107581</v>
      </c>
    </row>
    <row r="14" spans="1:16" x14ac:dyDescent="0.25">
      <c r="A14" s="62" t="s">
        <v>57</v>
      </c>
      <c r="B14" s="63">
        <f>B13-B12</f>
        <v>12228085.846197808</v>
      </c>
      <c r="M14" s="70">
        <f t="shared" si="0"/>
        <v>13</v>
      </c>
      <c r="N14" s="71">
        <f t="shared" si="3"/>
        <v>100000</v>
      </c>
      <c r="O14" s="72">
        <f t="shared" si="1"/>
        <v>6055344.868049222</v>
      </c>
      <c r="P14" s="72">
        <f t="shared" si="2"/>
        <v>2838981.9672770542</v>
      </c>
    </row>
    <row r="15" spans="1:16" x14ac:dyDescent="0.25">
      <c r="A15" s="62" t="s">
        <v>72</v>
      </c>
      <c r="B15" s="68">
        <f>B14/B12</f>
        <v>3.3048880665399483</v>
      </c>
      <c r="M15" s="70">
        <f t="shared" si="0"/>
        <v>14</v>
      </c>
      <c r="N15" s="71">
        <f t="shared" si="3"/>
        <v>100000</v>
      </c>
      <c r="O15" s="72">
        <f t="shared" si="1"/>
        <v>7013551.7085969904</v>
      </c>
      <c r="P15" s="72">
        <f t="shared" si="2"/>
        <v>3102100.6844391515</v>
      </c>
    </row>
    <row r="16" spans="1:16" x14ac:dyDescent="0.25">
      <c r="A16" s="62" t="s">
        <v>73</v>
      </c>
      <c r="B16" s="69">
        <f>IF(B8="Да", B13 / (1 + B9)^B6, B13)</f>
        <v>4966452.457091812</v>
      </c>
      <c r="M16" s="70">
        <f t="shared" si="0"/>
        <v>15</v>
      </c>
      <c r="N16" s="71">
        <f t="shared" si="3"/>
        <v>100000</v>
      </c>
      <c r="O16" s="72">
        <f t="shared" si="1"/>
        <v>8093283.1605698876</v>
      </c>
      <c r="P16" s="72">
        <f t="shared" si="2"/>
        <v>3377044.2895451202</v>
      </c>
    </row>
    <row r="17" spans="2:16" x14ac:dyDescent="0.25">
      <c r="M17" s="70">
        <f t="shared" si="0"/>
        <v>16</v>
      </c>
      <c r="N17" s="71">
        <f>IF(M17&gt;$B$6,"",$B$3)</f>
        <v>100000</v>
      </c>
      <c r="O17" s="72">
        <f t="shared" si="1"/>
        <v>9309951.586473681</v>
      </c>
      <c r="P17" s="72">
        <f t="shared" si="2"/>
        <v>3664827.8435612093</v>
      </c>
    </row>
    <row r="18" spans="2:16" x14ac:dyDescent="0.25">
      <c r="M18" s="70">
        <f t="shared" si="0"/>
        <v>17</v>
      </c>
      <c r="N18" s="71">
        <f t="shared" si="3"/>
        <v>100000</v>
      </c>
      <c r="O18" s="72">
        <f t="shared" si="1"/>
        <v>10680924.022153342</v>
      </c>
      <c r="P18" s="72">
        <f t="shared" si="2"/>
        <v>3966515.1395652429</v>
      </c>
    </row>
    <row r="19" spans="2:16" x14ac:dyDescent="0.25">
      <c r="B19" s="18"/>
      <c r="C19" s="18"/>
      <c r="M19" s="70">
        <f t="shared" si="0"/>
        <v>18</v>
      </c>
      <c r="N19" s="71">
        <f t="shared" si="3"/>
        <v>100000</v>
      </c>
      <c r="O19" s="72">
        <f t="shared" si="1"/>
        <v>12225770.078298178</v>
      </c>
      <c r="P19" s="72">
        <f t="shared" si="2"/>
        <v>4283222.6387049723</v>
      </c>
    </row>
    <row r="20" spans="2:16" x14ac:dyDescent="0.25">
      <c r="M20" s="70">
        <f t="shared" si="0"/>
        <v>19</v>
      </c>
      <c r="N20" s="71">
        <f t="shared" si="3"/>
        <v>100000</v>
      </c>
      <c r="O20" s="72">
        <f t="shared" si="1"/>
        <v>13966541.282062832</v>
      </c>
      <c r="P20" s="72">
        <f t="shared" si="2"/>
        <v>4616123.6053966321</v>
      </c>
    </row>
    <row r="21" spans="2:16" x14ac:dyDescent="0.25">
      <c r="M21" s="70">
        <f t="shared" si="0"/>
        <v>20</v>
      </c>
      <c r="N21" s="71">
        <f t="shared" si="3"/>
        <v>100000</v>
      </c>
      <c r="O21" s="72">
        <f t="shared" si="1"/>
        <v>15928085.846197808</v>
      </c>
      <c r="P21" s="72">
        <f t="shared" si="2"/>
        <v>4966452.457091812</v>
      </c>
    </row>
    <row r="22" spans="2:16" x14ac:dyDescent="0.25">
      <c r="M22" s="70" t="str">
        <f t="shared" si="0"/>
        <v/>
      </c>
      <c r="N22" s="71" t="str">
        <f t="shared" si="3"/>
        <v/>
      </c>
      <c r="O22" s="72" t="str">
        <f t="shared" si="1"/>
        <v/>
      </c>
      <c r="P22" s="72" t="str">
        <f t="shared" si="2"/>
        <v/>
      </c>
    </row>
    <row r="23" spans="2:16" x14ac:dyDescent="0.25">
      <c r="M23" s="70" t="str">
        <f t="shared" si="0"/>
        <v/>
      </c>
      <c r="N23" s="71" t="str">
        <f t="shared" si="3"/>
        <v/>
      </c>
      <c r="O23" s="72" t="str">
        <f t="shared" si="1"/>
        <v/>
      </c>
      <c r="P23" s="72" t="str">
        <f t="shared" si="2"/>
        <v/>
      </c>
    </row>
    <row r="24" spans="2:16" x14ac:dyDescent="0.25">
      <c r="M24" s="70" t="str">
        <f t="shared" si="0"/>
        <v/>
      </c>
      <c r="N24" s="71" t="str">
        <f t="shared" si="3"/>
        <v/>
      </c>
      <c r="O24" s="72" t="str">
        <f t="shared" si="1"/>
        <v/>
      </c>
      <c r="P24" s="72" t="str">
        <f t="shared" si="2"/>
        <v/>
      </c>
    </row>
    <row r="25" spans="2:16" x14ac:dyDescent="0.25">
      <c r="M25" s="70" t="str">
        <f t="shared" si="0"/>
        <v/>
      </c>
      <c r="N25" s="71" t="str">
        <f t="shared" si="3"/>
        <v/>
      </c>
      <c r="O25" s="72" t="str">
        <f t="shared" si="1"/>
        <v/>
      </c>
      <c r="P25" s="72" t="str">
        <f t="shared" si="2"/>
        <v/>
      </c>
    </row>
    <row r="26" spans="2:16" x14ac:dyDescent="0.25">
      <c r="M26" s="70" t="str">
        <f t="shared" si="0"/>
        <v/>
      </c>
      <c r="N26" s="71" t="str">
        <f t="shared" si="3"/>
        <v/>
      </c>
      <c r="O26" s="72" t="str">
        <f t="shared" si="1"/>
        <v/>
      </c>
      <c r="P26" s="72" t="str">
        <f t="shared" si="2"/>
        <v/>
      </c>
    </row>
    <row r="27" spans="2:16" x14ac:dyDescent="0.25">
      <c r="M27" s="70" t="str">
        <f t="shared" si="0"/>
        <v/>
      </c>
      <c r="N27" s="71" t="str">
        <f>IF(M27&gt;$B$6,"",$B$3)</f>
        <v/>
      </c>
      <c r="O27" s="72" t="str">
        <f t="shared" si="1"/>
        <v/>
      </c>
      <c r="P27" s="72" t="str">
        <f t="shared" si="2"/>
        <v/>
      </c>
    </row>
    <row r="28" spans="2:16" x14ac:dyDescent="0.25">
      <c r="M28" s="70" t="str">
        <f t="shared" si="0"/>
        <v/>
      </c>
      <c r="N28" s="71" t="str">
        <f t="shared" si="3"/>
        <v/>
      </c>
      <c r="O28" s="72" t="str">
        <f t="shared" si="1"/>
        <v/>
      </c>
      <c r="P28" s="72" t="str">
        <f t="shared" si="2"/>
        <v/>
      </c>
    </row>
    <row r="29" spans="2:16" x14ac:dyDescent="0.25">
      <c r="M29" s="70" t="str">
        <f t="shared" si="0"/>
        <v/>
      </c>
      <c r="N29" s="71" t="str">
        <f t="shared" si="3"/>
        <v/>
      </c>
      <c r="O29" s="72" t="str">
        <f t="shared" si="1"/>
        <v/>
      </c>
      <c r="P29" s="72" t="str">
        <f t="shared" si="2"/>
        <v/>
      </c>
    </row>
    <row r="30" spans="2:16" x14ac:dyDescent="0.25">
      <c r="M30" s="70" t="str">
        <f t="shared" si="0"/>
        <v/>
      </c>
      <c r="N30" s="71" t="str">
        <f t="shared" si="3"/>
        <v/>
      </c>
      <c r="O30" s="72" t="str">
        <f t="shared" si="1"/>
        <v/>
      </c>
      <c r="P30" s="72" t="str">
        <f t="shared" si="2"/>
        <v/>
      </c>
    </row>
    <row r="31" spans="2:16" x14ac:dyDescent="0.25">
      <c r="M31" s="70" t="str">
        <f t="shared" si="0"/>
        <v/>
      </c>
      <c r="N31" s="71" t="str">
        <f t="shared" si="3"/>
        <v/>
      </c>
      <c r="O31" s="72" t="str">
        <f t="shared" si="1"/>
        <v/>
      </c>
      <c r="P31" s="72" t="str">
        <f t="shared" si="2"/>
        <v/>
      </c>
    </row>
    <row r="32" spans="2:16" x14ac:dyDescent="0.25">
      <c r="M32" s="70" t="str">
        <f t="shared" si="0"/>
        <v/>
      </c>
      <c r="N32" s="71" t="str">
        <f t="shared" si="3"/>
        <v/>
      </c>
      <c r="O32" s="72" t="str">
        <f t="shared" si="1"/>
        <v/>
      </c>
      <c r="P32" s="72" t="str">
        <f t="shared" si="2"/>
        <v/>
      </c>
    </row>
    <row r="33" spans="13:16" x14ac:dyDescent="0.25">
      <c r="M33" s="70" t="str">
        <f t="shared" si="0"/>
        <v/>
      </c>
      <c r="N33" s="71" t="str">
        <f t="shared" si="3"/>
        <v/>
      </c>
      <c r="O33" s="72" t="str">
        <f t="shared" si="1"/>
        <v/>
      </c>
      <c r="P33" s="72" t="str">
        <f t="shared" si="2"/>
        <v/>
      </c>
    </row>
    <row r="34" spans="13:16" x14ac:dyDescent="0.25">
      <c r="M34" s="70" t="str">
        <f t="shared" si="0"/>
        <v/>
      </c>
      <c r="N34" s="71" t="str">
        <f t="shared" si="3"/>
        <v/>
      </c>
      <c r="O34" s="72" t="str">
        <f t="shared" si="1"/>
        <v/>
      </c>
      <c r="P34" s="72" t="str">
        <f t="shared" si="2"/>
        <v/>
      </c>
    </row>
    <row r="35" spans="13:16" x14ac:dyDescent="0.25">
      <c r="M35" s="70" t="str">
        <f t="shared" si="0"/>
        <v/>
      </c>
      <c r="N35" s="71" t="str">
        <f t="shared" si="3"/>
        <v/>
      </c>
      <c r="O35" s="72" t="str">
        <f t="shared" si="1"/>
        <v/>
      </c>
      <c r="P35" s="72" t="str">
        <f t="shared" si="2"/>
        <v/>
      </c>
    </row>
    <row r="36" spans="13:16" x14ac:dyDescent="0.25">
      <c r="M36" s="70" t="str">
        <f t="shared" si="0"/>
        <v/>
      </c>
      <c r="N36" s="71" t="str">
        <f t="shared" si="3"/>
        <v/>
      </c>
      <c r="O36" s="72" t="str">
        <f t="shared" si="1"/>
        <v/>
      </c>
      <c r="P36" s="72" t="str">
        <f t="shared" si="2"/>
        <v/>
      </c>
    </row>
    <row r="37" spans="13:16" x14ac:dyDescent="0.25">
      <c r="M37" s="70" t="str">
        <f t="shared" si="0"/>
        <v/>
      </c>
      <c r="N37" s="71" t="str">
        <f t="shared" si="3"/>
        <v/>
      </c>
      <c r="O37" s="72" t="str">
        <f t="shared" si="1"/>
        <v/>
      </c>
      <c r="P37" s="72" t="str">
        <f t="shared" si="2"/>
        <v/>
      </c>
    </row>
    <row r="38" spans="13:16" x14ac:dyDescent="0.25">
      <c r="M38" s="70" t="str">
        <f t="shared" si="0"/>
        <v/>
      </c>
      <c r="N38" s="71" t="str">
        <f t="shared" si="3"/>
        <v/>
      </c>
      <c r="O38" s="72" t="str">
        <f t="shared" si="1"/>
        <v/>
      </c>
      <c r="P38" s="72" t="str">
        <f t="shared" si="2"/>
        <v/>
      </c>
    </row>
    <row r="39" spans="13:16" x14ac:dyDescent="0.25">
      <c r="M39" s="70" t="str">
        <f t="shared" si="0"/>
        <v/>
      </c>
      <c r="N39" s="71" t="str">
        <f t="shared" si="3"/>
        <v/>
      </c>
      <c r="O39" s="72" t="str">
        <f t="shared" si="1"/>
        <v/>
      </c>
      <c r="P39" s="72" t="str">
        <f t="shared" si="2"/>
        <v/>
      </c>
    </row>
    <row r="40" spans="13:16" x14ac:dyDescent="0.25">
      <c r="M40" s="70" t="str">
        <f t="shared" si="0"/>
        <v/>
      </c>
      <c r="N40" s="71" t="str">
        <f t="shared" si="3"/>
        <v/>
      </c>
      <c r="O40" s="72" t="str">
        <f t="shared" si="1"/>
        <v/>
      </c>
      <c r="P40" s="72" t="str">
        <f t="shared" si="2"/>
        <v/>
      </c>
    </row>
    <row r="41" spans="13:16" x14ac:dyDescent="0.25">
      <c r="M41" s="70" t="str">
        <f t="shared" si="0"/>
        <v/>
      </c>
      <c r="N41" s="71" t="str">
        <f t="shared" si="3"/>
        <v/>
      </c>
      <c r="O41" s="72" t="str">
        <f t="shared" si="1"/>
        <v/>
      </c>
      <c r="P41" s="72" t="str">
        <f t="shared" si="2"/>
        <v/>
      </c>
    </row>
    <row r="42" spans="13:16" x14ac:dyDescent="0.25">
      <c r="N42" s="45"/>
      <c r="O42" s="46"/>
      <c r="P42" s="46"/>
    </row>
    <row r="43" spans="13:16" x14ac:dyDescent="0.25">
      <c r="M43" s="44" t="str">
        <f t="shared" si="0"/>
        <v/>
      </c>
    </row>
  </sheetData>
  <mergeCells count="3">
    <mergeCell ref="A2:E2"/>
    <mergeCell ref="A1:E1"/>
    <mergeCell ref="A11:E11"/>
  </mergeCells>
  <dataValidations count="2">
    <dataValidation type="list" allowBlank="1" showInputMessage="1" showErrorMessage="1" sqref="B7:B8" xr:uid="{5BF0356B-2D70-40E0-A2C8-E9C434477D3E}">
      <formula1>"Да,Нет"</formula1>
    </dataValidation>
    <dataValidation type="whole" allowBlank="1" showInputMessage="1" showErrorMessage="1" errorTitle="Слишком большой срок" error="Пожалуйста, введите срок от 1 до 40 лет" sqref="B6" xr:uid="{D0CCE9B4-BC82-4E6E-B174-FF016C09E9F8}">
      <formula1>1</formula1>
      <formula2>40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9165-C501-438A-AB7A-2EDD8E1F76EF}">
  <sheetPr codeName="Лист9">
    <tabColor rgb="FF002060"/>
  </sheetPr>
  <dimension ref="A1:E15"/>
  <sheetViews>
    <sheetView showGridLines="0" tabSelected="1" workbookViewId="0">
      <selection activeCell="D7" sqref="D7"/>
    </sheetView>
  </sheetViews>
  <sheetFormatPr defaultRowHeight="15" x14ac:dyDescent="0.25"/>
  <cols>
    <col min="1" max="1" width="16.140625" bestFit="1" customWidth="1"/>
    <col min="2" max="2" width="19.7109375" bestFit="1" customWidth="1"/>
    <col min="3" max="3" width="12.85546875" bestFit="1" customWidth="1"/>
    <col min="4" max="4" width="21.140625" bestFit="1" customWidth="1"/>
    <col min="5" max="5" width="20.28515625" bestFit="1" customWidth="1"/>
    <col min="6" max="6" width="32.42578125" bestFit="1" customWidth="1"/>
  </cols>
  <sheetData>
    <row r="1" spans="1:5" ht="21" x14ac:dyDescent="0.35">
      <c r="A1" s="75" t="s">
        <v>101</v>
      </c>
      <c r="B1" s="75"/>
      <c r="C1" s="75"/>
      <c r="D1" s="75"/>
      <c r="E1" s="75"/>
    </row>
    <row r="2" spans="1:5" x14ac:dyDescent="0.25">
      <c r="A2" s="108" t="s">
        <v>102</v>
      </c>
      <c r="B2" s="109"/>
      <c r="C2" s="109"/>
      <c r="D2" s="109"/>
      <c r="E2" s="109"/>
    </row>
    <row r="3" spans="1:5" x14ac:dyDescent="0.25">
      <c r="A3" s="58" t="s">
        <v>50</v>
      </c>
      <c r="B3" t="s">
        <v>98</v>
      </c>
      <c r="C3" t="s">
        <v>99</v>
      </c>
      <c r="D3" t="s">
        <v>100</v>
      </c>
      <c r="E3" t="s">
        <v>59</v>
      </c>
    </row>
    <row r="4" spans="1:5" x14ac:dyDescent="0.25">
      <c r="A4" s="59" t="s">
        <v>7</v>
      </c>
      <c r="B4" s="60">
        <v>20545366.483889993</v>
      </c>
      <c r="C4" s="60">
        <v>14194946.347112218</v>
      </c>
      <c r="D4" s="3">
        <v>-0.3930985297383166</v>
      </c>
      <c r="E4" s="3">
        <v>5.7502729138598108E-2</v>
      </c>
    </row>
    <row r="5" spans="1:5" x14ac:dyDescent="0.25">
      <c r="A5" s="59" t="s">
        <v>49</v>
      </c>
      <c r="B5" s="60">
        <v>20140599.898563955</v>
      </c>
      <c r="C5" s="60">
        <v>13790179.76178618</v>
      </c>
      <c r="D5" s="3">
        <v>-0.40505516414246778</v>
      </c>
      <c r="E5" s="3">
        <v>5.6501206409415028E-2</v>
      </c>
    </row>
    <row r="6" spans="1:5" x14ac:dyDescent="0.25">
      <c r="A6" s="59" t="s">
        <v>48</v>
      </c>
      <c r="B6" s="60">
        <v>19488023.668311793</v>
      </c>
      <c r="C6" s="60">
        <v>13137603.531534018</v>
      </c>
      <c r="D6" s="3">
        <v>-0.42433199105662445</v>
      </c>
      <c r="E6" s="3">
        <v>5.4845430039398568E-2</v>
      </c>
    </row>
    <row r="7" spans="1:5" x14ac:dyDescent="0.25">
      <c r="A7" s="59" t="s">
        <v>47</v>
      </c>
      <c r="B7" s="60">
        <v>18636611.01465055</v>
      </c>
      <c r="C7" s="60">
        <v>12286190.877872774</v>
      </c>
      <c r="D7" s="3">
        <v>-0.44948236214937576</v>
      </c>
      <c r="E7" s="3">
        <v>5.2603901320383839E-2</v>
      </c>
    </row>
    <row r="8" spans="1:5" x14ac:dyDescent="0.25">
      <c r="A8" s="59" t="s">
        <v>46</v>
      </c>
      <c r="B8" s="60">
        <v>17633674.229687437</v>
      </c>
      <c r="C8" s="60">
        <v>11283254.092909662</v>
      </c>
      <c r="D8" s="3">
        <v>-0.47910869224433505</v>
      </c>
      <c r="E8" s="3">
        <v>4.9834811043341753E-2</v>
      </c>
    </row>
    <row r="9" spans="1:5" x14ac:dyDescent="0.25">
      <c r="A9" s="59" t="s">
        <v>41</v>
      </c>
      <c r="B9" s="60">
        <v>16523305.25040454</v>
      </c>
      <c r="C9" s="60">
        <v>10172885.113626765</v>
      </c>
      <c r="D9" s="3">
        <v>-0.51190852409879062</v>
      </c>
      <c r="E9" s="3">
        <v>4.6588424454075739E-2</v>
      </c>
    </row>
    <row r="10" spans="1:5" x14ac:dyDescent="0.25">
      <c r="A10" s="59" t="s">
        <v>45</v>
      </c>
      <c r="B10" s="60">
        <v>15345304.798581369</v>
      </c>
      <c r="C10" s="60">
        <v>8994884.6618035939</v>
      </c>
      <c r="D10" s="3">
        <v>-0.54670616115924409</v>
      </c>
      <c r="E10" s="3">
        <v>4.2908810053949642E-2</v>
      </c>
    </row>
    <row r="11" spans="1:5" x14ac:dyDescent="0.25">
      <c r="A11" s="59" t="s">
        <v>86</v>
      </c>
      <c r="B11" s="60">
        <v>14134529.437026683</v>
      </c>
      <c r="C11" s="60">
        <v>7784109.3002489079</v>
      </c>
      <c r="D11" s="3">
        <v>-0.58247195524524131</v>
      </c>
      <c r="E11" s="3">
        <v>3.883509764026094E-2</v>
      </c>
    </row>
    <row r="12" spans="1:5" x14ac:dyDescent="0.25">
      <c r="A12" s="59" t="s">
        <v>6</v>
      </c>
      <c r="B12" s="60">
        <v>13863146.903539604</v>
      </c>
      <c r="C12" s="60">
        <v>7512726.7667618282</v>
      </c>
      <c r="D12" s="3">
        <v>-0.59048848095218343</v>
      </c>
      <c r="E12" s="3">
        <v>3.7876513208925155E-2</v>
      </c>
    </row>
    <row r="13" spans="1:5" x14ac:dyDescent="0.25">
      <c r="A13" s="59" t="s">
        <v>43</v>
      </c>
      <c r="B13" s="60">
        <v>12920586.681563182</v>
      </c>
      <c r="C13" s="60">
        <v>6570166.5447854064</v>
      </c>
      <c r="D13" s="3">
        <v>-0.61833131281289599</v>
      </c>
      <c r="E13" s="3">
        <v>3.4402384744934844E-2</v>
      </c>
    </row>
    <row r="14" spans="1:5" x14ac:dyDescent="0.25">
      <c r="A14" s="59" t="s">
        <v>42</v>
      </c>
      <c r="B14" s="60">
        <v>11727811.170038018</v>
      </c>
      <c r="C14" s="60">
        <v>5377391.033260243</v>
      </c>
      <c r="D14" s="3">
        <v>-0.65356539891227872</v>
      </c>
      <c r="E14" s="3">
        <v>2.9642368762195836E-2</v>
      </c>
    </row>
    <row r="15" spans="1:5" x14ac:dyDescent="0.25">
      <c r="A15" s="59" t="s">
        <v>8</v>
      </c>
      <c r="B15" s="60">
        <v>10575459.337805733</v>
      </c>
      <c r="C15" s="60">
        <v>4225039.2010279577</v>
      </c>
      <c r="D15" s="3">
        <v>-0.68760538655566794</v>
      </c>
      <c r="E15" s="3">
        <v>2.4583755008832808E-2</v>
      </c>
    </row>
  </sheetData>
  <mergeCells count="2">
    <mergeCell ref="A1:E1"/>
    <mergeCell ref="A2:E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0"/>
  <dimension ref="A2:B5"/>
  <sheetViews>
    <sheetView workbookViewId="0">
      <selection activeCell="E42" sqref="E42"/>
    </sheetView>
  </sheetViews>
  <sheetFormatPr defaultRowHeight="15" x14ac:dyDescent="0.25"/>
  <cols>
    <col min="1" max="1" width="106.140625" bestFit="1" customWidth="1"/>
    <col min="2" max="2" width="44.42578125" bestFit="1" customWidth="1"/>
  </cols>
  <sheetData>
    <row r="2" spans="1:2" x14ac:dyDescent="0.25">
      <c r="A2" t="s">
        <v>18</v>
      </c>
      <c r="B2" t="s">
        <v>26</v>
      </c>
    </row>
    <row r="3" spans="1:2" x14ac:dyDescent="0.25">
      <c r="A3" t="s">
        <v>29</v>
      </c>
      <c r="B3" t="s">
        <v>30</v>
      </c>
    </row>
    <row r="4" spans="1:2" x14ac:dyDescent="0.25">
      <c r="A4" t="s">
        <v>28</v>
      </c>
      <c r="B4" t="s">
        <v>33</v>
      </c>
    </row>
    <row r="5" spans="1:2" x14ac:dyDescent="0.25">
      <c r="A5" s="12" t="s">
        <v>31</v>
      </c>
      <c r="B5" t="s">
        <v>32</v>
      </c>
    </row>
  </sheetData>
  <hyperlinks>
    <hyperlink ref="A5" r:id="rId1" xr:uid="{00000000-0004-0000-0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Настройки</vt:lpstr>
      <vt:lpstr>Сырые данные</vt:lpstr>
      <vt:lpstr>Исходные данные</vt:lpstr>
      <vt:lpstr>Калькулятор стратегий</vt:lpstr>
      <vt:lpstr>Расчёт всех стратегий</vt:lpstr>
      <vt:lpstr>Итоги</vt:lpstr>
      <vt:lpstr>Дашборды</vt:lpstr>
      <vt:lpstr>Калькулятор</vt:lpstr>
      <vt:lpstr>Сводный анализ</vt:lpstr>
      <vt:lpstr>Источники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</cp:lastModifiedBy>
  <dcterms:created xsi:type="dcterms:W3CDTF">2015-06-05T18:19:34Z</dcterms:created>
  <dcterms:modified xsi:type="dcterms:W3CDTF">2026-09-03T01:53:52Z</dcterms:modified>
</cp:coreProperties>
</file>